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22980" windowHeight="9732"/>
  </bookViews>
  <sheets>
    <sheet name="Title" sheetId="8" r:id="rId1"/>
    <sheet name="Market" sheetId="1" r:id="rId2"/>
    <sheet name="LMM" sheetId="5" r:id="rId3"/>
    <sheet name="LMMPlot" sheetId="7" state="hidden" r:id="rId4"/>
    <sheet name="Caps" sheetId="9" state="hidden" r:id="rId5"/>
    <sheet name="Excel" sheetId="6" state="hidden" r:id="rId6"/>
  </sheets>
  <functionGroups builtInGroupCount="17"/>
  <definedNames>
    <definedName name="_xlnm.Print_Area" localSheetId="2">LMM!$A$1:$R$24</definedName>
    <definedName name="_xlnm.Print_Area" localSheetId="1">Market!$A$1:$R$30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Market!$N$153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pre" localSheetId="1" hidden="1">0.00000001</definedName>
    <definedName name="solver_rbv" localSheetId="1" hidden="1">1</definedName>
    <definedName name="solver_rel1" localSheetId="1" hidden="1">3</definedName>
    <definedName name="solver_rhs1" localSheetId="1" hidden="1">0.000001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5621" calcMode="manual"/>
</workbook>
</file>

<file path=xl/calcChain.xml><?xml version="1.0" encoding="utf-8"?>
<calcChain xmlns="http://schemas.openxmlformats.org/spreadsheetml/2006/main">
  <c r="L4" i="1" l="1"/>
  <c r="E39" i="1" l="1"/>
  <c r="E38" i="1"/>
  <c r="E37" i="1"/>
  <c r="C5" i="1" l="1"/>
  <c r="E36" i="1"/>
  <c r="E34" i="1" s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E35" i="1" l="1"/>
  <c r="C40" i="1"/>
  <c r="H40" i="1"/>
  <c r="D152" i="1" l="1"/>
  <c r="C152" i="1"/>
  <c r="D132" i="1"/>
  <c r="F132" i="1" s="1"/>
  <c r="C132" i="1"/>
  <c r="D112" i="1"/>
  <c r="F112" i="1" s="1"/>
  <c r="C112" i="1"/>
  <c r="D92" i="1"/>
  <c r="F92" i="1" s="1"/>
  <c r="C92" i="1"/>
  <c r="D80" i="1"/>
  <c r="F80" i="1" s="1"/>
  <c r="C80" i="1"/>
  <c r="D76" i="1"/>
  <c r="D72" i="1"/>
  <c r="F72" i="1" s="1"/>
  <c r="C72" i="1"/>
  <c r="D68" i="1"/>
  <c r="F68" i="1" s="1"/>
  <c r="C68" i="1"/>
  <c r="D64" i="1"/>
  <c r="F64" i="1" s="1"/>
  <c r="C64" i="1"/>
  <c r="D60" i="1"/>
  <c r="F60" i="1" s="1"/>
  <c r="C60" i="1"/>
  <c r="D56" i="1"/>
  <c r="F56" i="1" s="1"/>
  <c r="C56" i="1"/>
  <c r="D52" i="1"/>
  <c r="C52" i="1"/>
  <c r="D48" i="1"/>
  <c r="C48" i="1"/>
  <c r="D44" i="1"/>
  <c r="F44" i="1" s="1"/>
  <c r="C44" i="1"/>
  <c r="D40" i="1"/>
  <c r="F40" i="1" s="1"/>
  <c r="D36" i="1"/>
  <c r="C36" i="1"/>
  <c r="E152" i="1"/>
  <c r="E132" i="1"/>
  <c r="E112" i="1"/>
  <c r="E92" i="1"/>
  <c r="E80" i="1"/>
  <c r="E76" i="1"/>
  <c r="E72" i="1"/>
  <c r="E68" i="1"/>
  <c r="E64" i="1"/>
  <c r="E60" i="1"/>
  <c r="E56" i="1"/>
  <c r="E52" i="1"/>
  <c r="E48" i="1"/>
  <c r="C76" i="1"/>
  <c r="H36" i="1"/>
  <c r="H152" i="1"/>
  <c r="H80" i="1"/>
  <c r="H60" i="1"/>
  <c r="H44" i="1"/>
  <c r="H132" i="1"/>
  <c r="H76" i="1"/>
  <c r="H56" i="1"/>
  <c r="H112" i="1"/>
  <c r="H48" i="1"/>
  <c r="H92" i="1"/>
  <c r="H68" i="1"/>
  <c r="H72" i="1"/>
  <c r="H52" i="1"/>
  <c r="H64" i="1"/>
  <c r="P36" i="1" l="1"/>
  <c r="B6" i="1" s="1"/>
  <c r="P35" i="1"/>
  <c r="P33" i="1"/>
  <c r="P34" i="1"/>
  <c r="F52" i="1"/>
  <c r="G52" i="1" s="1"/>
  <c r="F36" i="1"/>
  <c r="G36" i="1" s="1"/>
  <c r="F152" i="1"/>
  <c r="G152" i="1" s="1"/>
  <c r="F48" i="1"/>
  <c r="G48" i="1" s="1"/>
  <c r="F76" i="1"/>
  <c r="G76" i="1" s="1"/>
  <c r="C61" i="1"/>
  <c r="D125" i="1"/>
  <c r="D63" i="1"/>
  <c r="D75" i="1"/>
  <c r="C62" i="1"/>
  <c r="C51" i="1"/>
  <c r="C63" i="1"/>
  <c r="C71" i="1"/>
  <c r="C104" i="1"/>
  <c r="D71" i="1"/>
  <c r="C46" i="1"/>
  <c r="D114" i="1"/>
  <c r="D90" i="1"/>
  <c r="D150" i="1"/>
  <c r="D46" i="1"/>
  <c r="D96" i="1"/>
  <c r="E145" i="1"/>
  <c r="C50" i="1"/>
  <c r="D69" i="1"/>
  <c r="E74" i="1"/>
  <c r="C53" i="1"/>
  <c r="D104" i="1"/>
  <c r="C148" i="1"/>
  <c r="D35" i="1"/>
  <c r="D131" i="1"/>
  <c r="D67" i="1"/>
  <c r="G68" i="1"/>
  <c r="D94" i="1"/>
  <c r="C105" i="1"/>
  <c r="C123" i="1"/>
  <c r="D144" i="1"/>
  <c r="C33" i="1"/>
  <c r="D45" i="1"/>
  <c r="E89" i="1"/>
  <c r="C38" i="1"/>
  <c r="D47" i="1"/>
  <c r="C57" i="1"/>
  <c r="D121" i="1"/>
  <c r="C138" i="1"/>
  <c r="C91" i="1"/>
  <c r="C95" i="1"/>
  <c r="E126" i="1"/>
  <c r="C102" i="1"/>
  <c r="D42" i="1"/>
  <c r="C87" i="1"/>
  <c r="D97" i="1"/>
  <c r="D65" i="1"/>
  <c r="E115" i="1"/>
  <c r="C129" i="1"/>
  <c r="C39" i="1"/>
  <c r="G44" i="1"/>
  <c r="D50" i="1"/>
  <c r="F50" i="1" s="1"/>
  <c r="C55" i="1"/>
  <c r="C34" i="1"/>
  <c r="C41" i="1"/>
  <c r="C43" i="1"/>
  <c r="C45" i="1"/>
  <c r="C47" i="1"/>
  <c r="C69" i="1"/>
  <c r="D81" i="1"/>
  <c r="C85" i="1"/>
  <c r="D100" i="1"/>
  <c r="D107" i="1"/>
  <c r="D110" i="1"/>
  <c r="D130" i="1"/>
  <c r="C133" i="1"/>
  <c r="C142" i="1"/>
  <c r="D146" i="1"/>
  <c r="C151" i="1"/>
  <c r="D43" i="1"/>
  <c r="D62" i="1"/>
  <c r="C35" i="1"/>
  <c r="D38" i="1"/>
  <c r="F38" i="1" s="1"/>
  <c r="D49" i="1"/>
  <c r="D51" i="1"/>
  <c r="F51" i="1" s="1"/>
  <c r="G60" i="1"/>
  <c r="G64" i="1"/>
  <c r="E101" i="1"/>
  <c r="C128" i="1"/>
  <c r="C147" i="1"/>
  <c r="C149" i="1"/>
  <c r="C83" i="1"/>
  <c r="C97" i="1"/>
  <c r="D98" i="1"/>
  <c r="D108" i="1"/>
  <c r="D115" i="1"/>
  <c r="D120" i="1"/>
  <c r="C135" i="1"/>
  <c r="C139" i="1"/>
  <c r="C144" i="1"/>
  <c r="C54" i="1"/>
  <c r="G92" i="1"/>
  <c r="D99" i="1"/>
  <c r="D109" i="1"/>
  <c r="C126" i="1"/>
  <c r="D129" i="1"/>
  <c r="C136" i="1"/>
  <c r="D61" i="1"/>
  <c r="G80" i="1"/>
  <c r="C84" i="1"/>
  <c r="C96" i="1"/>
  <c r="C103" i="1"/>
  <c r="D106" i="1"/>
  <c r="G112" i="1"/>
  <c r="D122" i="1"/>
  <c r="D126" i="1"/>
  <c r="G132" i="1"/>
  <c r="C141" i="1"/>
  <c r="C153" i="1"/>
  <c r="D83" i="1"/>
  <c r="C42" i="1"/>
  <c r="C37" i="1"/>
  <c r="D66" i="1"/>
  <c r="E117" i="1"/>
  <c r="C130" i="1"/>
  <c r="C137" i="1"/>
  <c r="C146" i="1"/>
  <c r="E63" i="1"/>
  <c r="E61" i="1"/>
  <c r="E62" i="1"/>
  <c r="E57" i="1"/>
  <c r="E67" i="1"/>
  <c r="E66" i="1"/>
  <c r="E65" i="1"/>
  <c r="E106" i="1"/>
  <c r="E98" i="1"/>
  <c r="E111" i="1"/>
  <c r="E104" i="1"/>
  <c r="E97" i="1"/>
  <c r="E95" i="1"/>
  <c r="E109" i="1"/>
  <c r="E102" i="1"/>
  <c r="E108" i="1"/>
  <c r="E93" i="1"/>
  <c r="E83" i="1"/>
  <c r="E91" i="1"/>
  <c r="E100" i="1"/>
  <c r="E50" i="1"/>
  <c r="C73" i="1"/>
  <c r="C75" i="1"/>
  <c r="C74" i="1"/>
  <c r="C79" i="1"/>
  <c r="C77" i="1"/>
  <c r="C78" i="1"/>
  <c r="D84" i="1"/>
  <c r="D91" i="1"/>
  <c r="D88" i="1"/>
  <c r="D89" i="1"/>
  <c r="D79" i="1"/>
  <c r="D87" i="1"/>
  <c r="D78" i="1"/>
  <c r="D86" i="1"/>
  <c r="D77" i="1"/>
  <c r="D85" i="1"/>
  <c r="E105" i="1"/>
  <c r="G40" i="1"/>
  <c r="E49" i="1"/>
  <c r="C58" i="1"/>
  <c r="C59" i="1"/>
  <c r="C65" i="1"/>
  <c r="C66" i="1"/>
  <c r="C67" i="1"/>
  <c r="D70" i="1"/>
  <c r="D74" i="1"/>
  <c r="D73" i="1"/>
  <c r="G72" i="1"/>
  <c r="E87" i="1"/>
  <c r="E86" i="1"/>
  <c r="E84" i="1"/>
  <c r="E90" i="1"/>
  <c r="E81" i="1"/>
  <c r="E88" i="1"/>
  <c r="E85" i="1"/>
  <c r="D82" i="1"/>
  <c r="C90" i="1"/>
  <c r="E110" i="1"/>
  <c r="E116" i="1"/>
  <c r="E153" i="1"/>
  <c r="E55" i="1"/>
  <c r="E54" i="1"/>
  <c r="E96" i="1"/>
  <c r="E103" i="1"/>
  <c r="E146" i="1"/>
  <c r="E138" i="1"/>
  <c r="E147" i="1"/>
  <c r="E149" i="1"/>
  <c r="E150" i="1"/>
  <c r="E148" i="1"/>
  <c r="E137" i="1"/>
  <c r="E133" i="1"/>
  <c r="E123" i="1"/>
  <c r="E121" i="1"/>
  <c r="E142" i="1"/>
  <c r="E141" i="1"/>
  <c r="E140" i="1"/>
  <c r="E139" i="1"/>
  <c r="E144" i="1"/>
  <c r="E143" i="1"/>
  <c r="E136" i="1"/>
  <c r="E135" i="1"/>
  <c r="E134" i="1"/>
  <c r="D41" i="1"/>
  <c r="D33" i="1"/>
  <c r="D34" i="1"/>
  <c r="D39" i="1"/>
  <c r="D37" i="1"/>
  <c r="E51" i="1"/>
  <c r="D55" i="1"/>
  <c r="D53" i="1"/>
  <c r="D57" i="1"/>
  <c r="D59" i="1"/>
  <c r="G56" i="1"/>
  <c r="D58" i="1"/>
  <c r="E71" i="1"/>
  <c r="E70" i="1"/>
  <c r="E69" i="1"/>
  <c r="E82" i="1"/>
  <c r="E94" i="1"/>
  <c r="E99" i="1"/>
  <c r="E107" i="1"/>
  <c r="E151" i="1"/>
  <c r="E79" i="1"/>
  <c r="E77" i="1"/>
  <c r="E78" i="1"/>
  <c r="E73" i="1"/>
  <c r="E53" i="1"/>
  <c r="D54" i="1"/>
  <c r="E59" i="1"/>
  <c r="E58" i="1"/>
  <c r="E75" i="1"/>
  <c r="C108" i="1"/>
  <c r="C100" i="1"/>
  <c r="C109" i="1"/>
  <c r="C110" i="1"/>
  <c r="C106" i="1"/>
  <c r="C99" i="1"/>
  <c r="C98" i="1"/>
  <c r="C111" i="1"/>
  <c r="C107" i="1"/>
  <c r="C94" i="1"/>
  <c r="C88" i="1"/>
  <c r="C93" i="1"/>
  <c r="C101" i="1"/>
  <c r="C49" i="1"/>
  <c r="E128" i="1"/>
  <c r="D151" i="1"/>
  <c r="D143" i="1"/>
  <c r="D135" i="1"/>
  <c r="D145" i="1"/>
  <c r="D138" i="1"/>
  <c r="D136" i="1"/>
  <c r="D147" i="1"/>
  <c r="D142" i="1"/>
  <c r="D141" i="1"/>
  <c r="D134" i="1"/>
  <c r="D137" i="1"/>
  <c r="D139" i="1"/>
  <c r="D140" i="1"/>
  <c r="D149" i="1"/>
  <c r="C70" i="1"/>
  <c r="C122" i="1"/>
  <c r="E124" i="1"/>
  <c r="E125" i="1"/>
  <c r="D133" i="1"/>
  <c r="D148" i="1"/>
  <c r="C124" i="1"/>
  <c r="C116" i="1"/>
  <c r="C125" i="1"/>
  <c r="C121" i="1"/>
  <c r="C117" i="1"/>
  <c r="C131" i="1"/>
  <c r="C127" i="1"/>
  <c r="C120" i="1"/>
  <c r="C118" i="1"/>
  <c r="C119" i="1"/>
  <c r="E130" i="1"/>
  <c r="E122" i="1"/>
  <c r="E114" i="1"/>
  <c r="E129" i="1"/>
  <c r="E127" i="1"/>
  <c r="E120" i="1"/>
  <c r="E113" i="1"/>
  <c r="E131" i="1"/>
  <c r="C89" i="1"/>
  <c r="C81" i="1"/>
  <c r="C82" i="1"/>
  <c r="C86" i="1"/>
  <c r="D127" i="1"/>
  <c r="D119" i="1"/>
  <c r="D118" i="1"/>
  <c r="D128" i="1"/>
  <c r="D124" i="1"/>
  <c r="D113" i="1"/>
  <c r="D95" i="1"/>
  <c r="D93" i="1"/>
  <c r="D123" i="1"/>
  <c r="D116" i="1"/>
  <c r="D105" i="1"/>
  <c r="D101" i="1"/>
  <c r="C113" i="1"/>
  <c r="C114" i="1"/>
  <c r="C115" i="1"/>
  <c r="D117" i="1"/>
  <c r="E118" i="1"/>
  <c r="E119" i="1"/>
  <c r="C150" i="1"/>
  <c r="C143" i="1"/>
  <c r="C134" i="1"/>
  <c r="C145" i="1"/>
  <c r="D153" i="1"/>
  <c r="D111" i="1"/>
  <c r="D103" i="1"/>
  <c r="D102" i="1"/>
  <c r="C140" i="1"/>
  <c r="H61" i="1"/>
  <c r="H104" i="1"/>
  <c r="H95" i="1"/>
  <c r="H129" i="1"/>
  <c r="H45" i="1"/>
  <c r="H149" i="1"/>
  <c r="H139" i="1"/>
  <c r="H136" i="1"/>
  <c r="H66" i="1"/>
  <c r="H109" i="1"/>
  <c r="H88" i="1"/>
  <c r="H120" i="1"/>
  <c r="H140" i="1"/>
  <c r="H134" i="1"/>
  <c r="H105" i="1"/>
  <c r="H87" i="1"/>
  <c r="H96" i="1"/>
  <c r="H122" i="1"/>
  <c r="H50" i="1"/>
  <c r="H39" i="1"/>
  <c r="H47" i="1"/>
  <c r="H133" i="1"/>
  <c r="H83" i="1"/>
  <c r="H144" i="1"/>
  <c r="H67" i="1"/>
  <c r="H110" i="1"/>
  <c r="H93" i="1"/>
  <c r="H124" i="1"/>
  <c r="H118" i="1"/>
  <c r="H150" i="1"/>
  <c r="H57" i="1"/>
  <c r="H85" i="1"/>
  <c r="H146" i="1"/>
  <c r="H98" i="1"/>
  <c r="H114" i="1"/>
  <c r="H51" i="1"/>
  <c r="H79" i="1"/>
  <c r="H117" i="1"/>
  <c r="H148" i="1"/>
  <c r="H41" i="1"/>
  <c r="H42" i="1"/>
  <c r="H90" i="1"/>
  <c r="H131" i="1"/>
  <c r="H37" i="1"/>
  <c r="H94" i="1"/>
  <c r="H46" i="1"/>
  <c r="H38" i="1"/>
  <c r="H102" i="1"/>
  <c r="H69" i="1"/>
  <c r="H142" i="1"/>
  <c r="H97" i="1"/>
  <c r="H54" i="1"/>
  <c r="H130" i="1"/>
  <c r="H73" i="1"/>
  <c r="H106" i="1"/>
  <c r="H101" i="1"/>
  <c r="H116" i="1"/>
  <c r="H119" i="1"/>
  <c r="H143" i="1"/>
  <c r="H62" i="1"/>
  <c r="H55" i="1"/>
  <c r="H153" i="1"/>
  <c r="H81" i="1"/>
  <c r="H123" i="1"/>
  <c r="H103" i="1"/>
  <c r="H111" i="1"/>
  <c r="H115" i="1"/>
  <c r="H138" i="1"/>
  <c r="H126" i="1"/>
  <c r="H77" i="1"/>
  <c r="H107" i="1"/>
  <c r="H86" i="1"/>
  <c r="H71" i="1"/>
  <c r="H43" i="1"/>
  <c r="H135" i="1"/>
  <c r="H65" i="1"/>
  <c r="H127" i="1"/>
  <c r="H84" i="1"/>
  <c r="H141" i="1"/>
  <c r="H137" i="1"/>
  <c r="H75" i="1"/>
  <c r="H99" i="1"/>
  <c r="H49" i="1"/>
  <c r="H70" i="1"/>
  <c r="H125" i="1"/>
  <c r="H89" i="1"/>
  <c r="H113" i="1"/>
  <c r="H53" i="1"/>
  <c r="H151" i="1"/>
  <c r="H74" i="1"/>
  <c r="H121" i="1"/>
  <c r="H145" i="1"/>
  <c r="H58" i="1"/>
  <c r="H82" i="1"/>
  <c r="H63" i="1"/>
  <c r="H128" i="1"/>
  <c r="H59" i="1"/>
  <c r="H108" i="1"/>
  <c r="H91" i="1"/>
  <c r="H147" i="1"/>
  <c r="H78" i="1"/>
  <c r="H100" i="1"/>
  <c r="F117" i="1" l="1"/>
  <c r="G117" i="1" s="1"/>
  <c r="F134" i="1"/>
  <c r="G134" i="1" s="1"/>
  <c r="F143" i="1"/>
  <c r="G143" i="1" s="1"/>
  <c r="F77" i="1"/>
  <c r="G77" i="1" s="1"/>
  <c r="F83" i="1"/>
  <c r="G83" i="1" s="1"/>
  <c r="F109" i="1"/>
  <c r="G109" i="1" s="1"/>
  <c r="F130" i="1"/>
  <c r="G130" i="1" s="1"/>
  <c r="F67" i="1"/>
  <c r="G67" i="1" s="1"/>
  <c r="F141" i="1"/>
  <c r="G141" i="1" s="1"/>
  <c r="F108" i="1"/>
  <c r="G108" i="1" s="1"/>
  <c r="F110" i="1"/>
  <c r="G110" i="1" s="1"/>
  <c r="F45" i="1"/>
  <c r="G45" i="1" s="1"/>
  <c r="F142" i="1"/>
  <c r="G142" i="1" s="1"/>
  <c r="F98" i="1"/>
  <c r="G98" i="1" s="1"/>
  <c r="F62" i="1"/>
  <c r="G62" i="1" s="1"/>
  <c r="F35" i="1"/>
  <c r="G35" i="1" s="1"/>
  <c r="F96" i="1"/>
  <c r="G96" i="1" s="1"/>
  <c r="F147" i="1"/>
  <c r="G147" i="1" s="1"/>
  <c r="F82" i="1"/>
  <c r="G82" i="1" s="1"/>
  <c r="F128" i="1"/>
  <c r="G128" i="1" s="1"/>
  <c r="F149" i="1"/>
  <c r="G149" i="1" s="1"/>
  <c r="F39" i="1"/>
  <c r="G39" i="1" s="1"/>
  <c r="F79" i="1"/>
  <c r="G79" i="1" s="1"/>
  <c r="F105" i="1"/>
  <c r="G105" i="1" s="1"/>
  <c r="F118" i="1"/>
  <c r="G118" i="1" s="1"/>
  <c r="F140" i="1"/>
  <c r="G140" i="1" s="1"/>
  <c r="F138" i="1"/>
  <c r="G138" i="1" s="1"/>
  <c r="F34" i="1"/>
  <c r="G34" i="1" s="1"/>
  <c r="F89" i="1"/>
  <c r="G89" i="1" s="1"/>
  <c r="F66" i="1"/>
  <c r="G66" i="1" s="1"/>
  <c r="F122" i="1"/>
  <c r="G122" i="1" s="1"/>
  <c r="F146" i="1"/>
  <c r="G146" i="1" s="1"/>
  <c r="F81" i="1"/>
  <c r="G81" i="1" s="1"/>
  <c r="F90" i="1"/>
  <c r="G90" i="1" s="1"/>
  <c r="F102" i="1"/>
  <c r="G102" i="1" s="1"/>
  <c r="F116" i="1"/>
  <c r="G116" i="1" s="1"/>
  <c r="F119" i="1"/>
  <c r="G119" i="1" s="1"/>
  <c r="F148" i="1"/>
  <c r="G148" i="1" s="1"/>
  <c r="F139" i="1"/>
  <c r="G139" i="1" s="1"/>
  <c r="F145" i="1"/>
  <c r="G145" i="1" s="1"/>
  <c r="F59" i="1"/>
  <c r="G59" i="1" s="1"/>
  <c r="E33" i="1"/>
  <c r="F33" i="1"/>
  <c r="G33" i="1" s="1"/>
  <c r="F70" i="1"/>
  <c r="G70" i="1" s="1"/>
  <c r="F88" i="1"/>
  <c r="G88" i="1" s="1"/>
  <c r="F129" i="1"/>
  <c r="G129" i="1" s="1"/>
  <c r="F42" i="1"/>
  <c r="G42" i="1" s="1"/>
  <c r="F47" i="1"/>
  <c r="G47" i="1" s="1"/>
  <c r="F94" i="1"/>
  <c r="G94" i="1" s="1"/>
  <c r="F114" i="1"/>
  <c r="G114" i="1" s="1"/>
  <c r="F75" i="1"/>
  <c r="G75" i="1" s="1"/>
  <c r="F103" i="1"/>
  <c r="G103" i="1" s="1"/>
  <c r="F123" i="1"/>
  <c r="G123" i="1" s="1"/>
  <c r="F127" i="1"/>
  <c r="G127" i="1" s="1"/>
  <c r="F133" i="1"/>
  <c r="G133" i="1" s="1"/>
  <c r="F137" i="1"/>
  <c r="G137" i="1" s="1"/>
  <c r="F135" i="1"/>
  <c r="G135" i="1" s="1"/>
  <c r="F57" i="1"/>
  <c r="G57" i="1" s="1"/>
  <c r="F41" i="1"/>
  <c r="G41" i="1" s="1"/>
  <c r="F85" i="1"/>
  <c r="G85" i="1" s="1"/>
  <c r="F91" i="1"/>
  <c r="G91" i="1" s="1"/>
  <c r="F106" i="1"/>
  <c r="G106" i="1" s="1"/>
  <c r="F120" i="1"/>
  <c r="G120" i="1" s="1"/>
  <c r="F69" i="1"/>
  <c r="G69" i="1" s="1"/>
  <c r="F111" i="1"/>
  <c r="G111" i="1" s="1"/>
  <c r="F93" i="1"/>
  <c r="G93" i="1" s="1"/>
  <c r="F53" i="1"/>
  <c r="G53" i="1" s="1"/>
  <c r="F43" i="1"/>
  <c r="G43" i="1" s="1"/>
  <c r="F100" i="1"/>
  <c r="G100" i="1" s="1"/>
  <c r="F65" i="1"/>
  <c r="G65" i="1" s="1"/>
  <c r="F144" i="1"/>
  <c r="G144" i="1" s="1"/>
  <c r="F46" i="1"/>
  <c r="G46" i="1" s="1"/>
  <c r="F115" i="1"/>
  <c r="G115" i="1" s="1"/>
  <c r="F71" i="1"/>
  <c r="G71" i="1" s="1"/>
  <c r="F153" i="1"/>
  <c r="G153" i="1" s="1"/>
  <c r="F55" i="1"/>
  <c r="G55" i="1" s="1"/>
  <c r="F99" i="1"/>
  <c r="G99" i="1" s="1"/>
  <c r="F113" i="1"/>
  <c r="G113" i="1" s="1"/>
  <c r="F78" i="1"/>
  <c r="G78" i="1" s="1"/>
  <c r="F107" i="1"/>
  <c r="G107" i="1" s="1"/>
  <c r="F124" i="1"/>
  <c r="G124" i="1" s="1"/>
  <c r="F37" i="1"/>
  <c r="G37" i="1" s="1"/>
  <c r="F101" i="1"/>
  <c r="G101" i="1" s="1"/>
  <c r="F126" i="1"/>
  <c r="G126" i="1" s="1"/>
  <c r="F61" i="1"/>
  <c r="G61" i="1" s="1"/>
  <c r="F97" i="1"/>
  <c r="G97" i="1" s="1"/>
  <c r="F121" i="1"/>
  <c r="G121" i="1" s="1"/>
  <c r="F104" i="1"/>
  <c r="G104" i="1" s="1"/>
  <c r="F150" i="1"/>
  <c r="G150" i="1" s="1"/>
  <c r="F84" i="1"/>
  <c r="G84" i="1" s="1"/>
  <c r="F63" i="1"/>
  <c r="G63" i="1" s="1"/>
  <c r="F95" i="1"/>
  <c r="G95" i="1" s="1"/>
  <c r="F151" i="1"/>
  <c r="G151" i="1" s="1"/>
  <c r="F86" i="1"/>
  <c r="G86" i="1" s="1"/>
  <c r="F131" i="1"/>
  <c r="G131" i="1" s="1"/>
  <c r="F125" i="1"/>
  <c r="G125" i="1" s="1"/>
  <c r="F87" i="1"/>
  <c r="G87" i="1" s="1"/>
  <c r="F136" i="1"/>
  <c r="G136" i="1" s="1"/>
  <c r="F54" i="1"/>
  <c r="G54" i="1" s="1"/>
  <c r="F58" i="1"/>
  <c r="G58" i="1" s="1"/>
  <c r="F73" i="1"/>
  <c r="G73" i="1" s="1"/>
  <c r="F74" i="1"/>
  <c r="G74" i="1" s="1"/>
  <c r="F49" i="1"/>
  <c r="G49" i="1" s="1"/>
  <c r="G51" i="1"/>
  <c r="G50" i="1"/>
  <c r="G38" i="1"/>
  <c r="E44" i="1" l="1"/>
  <c r="E40" i="1"/>
  <c r="E45" i="1" l="1"/>
  <c r="E43" i="1"/>
  <c r="E42" i="1"/>
  <c r="E46" i="1"/>
  <c r="E41" i="1"/>
  <c r="E47" i="1"/>
  <c r="B5" i="1" l="1"/>
  <c r="I37" i="1" l="1"/>
  <c r="I121" i="1"/>
  <c r="I92" i="1"/>
  <c r="I136" i="1"/>
  <c r="I135" i="1"/>
  <c r="I62" i="1"/>
  <c r="I123" i="1"/>
  <c r="I84" i="1"/>
  <c r="I44" i="1"/>
  <c r="I104" i="1"/>
  <c r="I81" i="1"/>
  <c r="I67" i="1"/>
  <c r="I74" i="1"/>
  <c r="I151" i="1"/>
  <c r="I55" i="1"/>
  <c r="I118" i="1"/>
  <c r="I69" i="1"/>
  <c r="I68" i="1"/>
  <c r="I133" i="1"/>
  <c r="I86" i="1"/>
  <c r="I152" i="1"/>
  <c r="I89" i="1"/>
  <c r="I56" i="1"/>
  <c r="I63" i="1"/>
  <c r="I138" i="1"/>
  <c r="I93" i="1"/>
  <c r="I40" i="1"/>
  <c r="I41" i="1"/>
  <c r="I96" i="1"/>
  <c r="I137" i="1"/>
  <c r="I49" i="1"/>
  <c r="I139" i="1"/>
  <c r="I97" i="1"/>
  <c r="I98" i="1"/>
  <c r="I61" i="1"/>
  <c r="I149" i="1"/>
  <c r="I85" i="1"/>
  <c r="I64" i="1"/>
  <c r="I82" i="1"/>
  <c r="I57" i="1"/>
  <c r="I111" i="1"/>
  <c r="I39" i="1"/>
  <c r="I45" i="1"/>
  <c r="I141" i="1"/>
  <c r="I47" i="1"/>
  <c r="I131" i="1"/>
  <c r="I122" i="1"/>
  <c r="I113" i="1"/>
  <c r="I109" i="1"/>
  <c r="I99" i="1"/>
  <c r="I142" i="1"/>
  <c r="I103" i="1"/>
  <c r="I101" i="1"/>
  <c r="I110" i="1"/>
  <c r="I114" i="1"/>
  <c r="I112" i="1"/>
  <c r="I87" i="1"/>
  <c r="I51" i="1"/>
  <c r="I48" i="1"/>
  <c r="I132" i="1"/>
  <c r="I79" i="1"/>
  <c r="I65" i="1"/>
  <c r="I150" i="1"/>
  <c r="I91" i="1"/>
  <c r="I83" i="1"/>
  <c r="I70" i="1"/>
  <c r="I153" i="1"/>
  <c r="I143" i="1"/>
  <c r="I90" i="1"/>
  <c r="I59" i="1"/>
  <c r="I145" i="1"/>
  <c r="I100" i="1"/>
  <c r="I53" i="1"/>
  <c r="I38" i="1"/>
  <c r="I78" i="1"/>
  <c r="I95" i="1"/>
  <c r="I75" i="1"/>
  <c r="I105" i="1"/>
  <c r="I130" i="1"/>
  <c r="I129" i="1"/>
  <c r="I73" i="1"/>
  <c r="I88" i="1"/>
  <c r="I126" i="1"/>
  <c r="I77" i="1"/>
  <c r="I76" i="1"/>
  <c r="I71" i="1"/>
  <c r="I108" i="1"/>
  <c r="I42" i="1"/>
  <c r="I115" i="1"/>
  <c r="I80" i="1"/>
  <c r="I58" i="1"/>
  <c r="I140" i="1"/>
  <c r="I125" i="1"/>
  <c r="I127" i="1"/>
  <c r="I128" i="1"/>
  <c r="I117" i="1"/>
  <c r="I43" i="1"/>
  <c r="I120" i="1"/>
  <c r="I148" i="1"/>
  <c r="I119" i="1"/>
  <c r="I54" i="1"/>
  <c r="I102" i="1"/>
  <c r="I72" i="1"/>
  <c r="I134" i="1"/>
  <c r="I52" i="1"/>
  <c r="I106" i="1"/>
  <c r="I116" i="1"/>
  <c r="I60" i="1"/>
  <c r="I146" i="1"/>
  <c r="I124" i="1"/>
  <c r="I147" i="1"/>
  <c r="I94" i="1"/>
  <c r="I144" i="1"/>
  <c r="I107" i="1"/>
  <c r="I46" i="1"/>
  <c r="I66" i="1"/>
  <c r="I50" i="1"/>
  <c r="N37" i="1"/>
  <c r="N104" i="1"/>
  <c r="N119" i="1"/>
  <c r="N45" i="1"/>
  <c r="N140" i="1"/>
  <c r="N89" i="1"/>
  <c r="N120" i="1"/>
  <c r="N59" i="1"/>
  <c r="N80" i="1"/>
  <c r="N122" i="1"/>
  <c r="N135" i="1"/>
  <c r="N44" i="1"/>
  <c r="N56" i="1"/>
  <c r="N73" i="1"/>
  <c r="N46" i="1"/>
  <c r="N42" i="1"/>
  <c r="N123" i="1"/>
  <c r="N48" i="1"/>
  <c r="N145" i="1"/>
  <c r="N40" i="1"/>
  <c r="N116" i="1"/>
  <c r="N67" i="1"/>
  <c r="N68" i="1"/>
  <c r="N100" i="1"/>
  <c r="N50" i="1"/>
  <c r="N121" i="1"/>
  <c r="N114" i="1"/>
  <c r="N128" i="1"/>
  <c r="N79" i="1"/>
  <c r="N47" i="1"/>
  <c r="N93" i="1"/>
  <c r="N96" i="1"/>
  <c r="N38" i="1"/>
  <c r="N127" i="1"/>
  <c r="N118" i="1"/>
  <c r="N111" i="1"/>
  <c r="N112" i="1"/>
  <c r="N92" i="1"/>
  <c r="N125" i="1"/>
  <c r="N58" i="1"/>
  <c r="N87" i="1"/>
  <c r="N53" i="1"/>
  <c r="N126" i="1"/>
  <c r="N146" i="1"/>
  <c r="N74" i="1"/>
  <c r="N109" i="1"/>
  <c r="N91" i="1"/>
  <c r="N129" i="1"/>
  <c r="N60" i="1"/>
  <c r="N101" i="1"/>
  <c r="N81" i="1"/>
  <c r="N134" i="1"/>
  <c r="N136" i="1"/>
  <c r="N107" i="1"/>
  <c r="N130" i="1"/>
  <c r="N147" i="1"/>
  <c r="N65" i="1"/>
  <c r="N72" i="1"/>
  <c r="N142" i="1"/>
  <c r="N94" i="1"/>
  <c r="N106" i="1"/>
  <c r="N52" i="1"/>
  <c r="N62" i="1"/>
  <c r="N132" i="1"/>
  <c r="N41" i="1"/>
  <c r="N110" i="1"/>
  <c r="N108" i="1"/>
  <c r="N75" i="1"/>
  <c r="N153" i="1"/>
  <c r="N82" i="1"/>
  <c r="N64" i="1"/>
  <c r="N86" i="1"/>
  <c r="N133" i="1"/>
  <c r="N57" i="1"/>
  <c r="N117" i="1"/>
  <c r="N151" i="1"/>
  <c r="N77" i="1"/>
  <c r="N85" i="1"/>
  <c r="N99" i="1"/>
  <c r="N66" i="1"/>
  <c r="N55" i="1"/>
  <c r="N83" i="1"/>
  <c r="N61" i="1"/>
  <c r="N149" i="1"/>
  <c r="N90" i="1"/>
  <c r="N54" i="1"/>
  <c r="N150" i="1"/>
  <c r="N97" i="1"/>
  <c r="N84" i="1"/>
  <c r="N98" i="1"/>
  <c r="N143" i="1"/>
  <c r="N49" i="1"/>
  <c r="N141" i="1"/>
  <c r="N39" i="1"/>
  <c r="N144" i="1"/>
  <c r="N131" i="1"/>
  <c r="N71" i="1"/>
  <c r="N115" i="1"/>
  <c r="N113" i="1"/>
  <c r="N95" i="1"/>
  <c r="N51" i="1"/>
  <c r="N137" i="1"/>
  <c r="N43" i="1"/>
  <c r="N76" i="1"/>
  <c r="N105" i="1"/>
  <c r="N138" i="1"/>
  <c r="N102" i="1"/>
  <c r="N70" i="1"/>
  <c r="N148" i="1"/>
  <c r="N63" i="1"/>
  <c r="N88" i="1"/>
  <c r="N103" i="1"/>
  <c r="N139" i="1"/>
  <c r="N124" i="1"/>
  <c r="N78" i="1"/>
  <c r="N152" i="1"/>
  <c r="N69" i="1"/>
  <c r="P69" i="1" l="1"/>
  <c r="P152" i="1"/>
  <c r="P78" i="1"/>
  <c r="P124" i="1"/>
  <c r="P139" i="1"/>
  <c r="P103" i="1"/>
  <c r="P88" i="1"/>
  <c r="P63" i="1"/>
  <c r="P148" i="1"/>
  <c r="P70" i="1"/>
  <c r="P102" i="1"/>
  <c r="P138" i="1"/>
  <c r="P105" i="1"/>
  <c r="P76" i="1"/>
  <c r="P43" i="1"/>
  <c r="P137" i="1"/>
  <c r="P51" i="1"/>
  <c r="P95" i="1"/>
  <c r="P113" i="1"/>
  <c r="P115" i="1"/>
  <c r="P71" i="1"/>
  <c r="P131" i="1"/>
  <c r="P144" i="1"/>
  <c r="P39" i="1"/>
  <c r="P141" i="1"/>
  <c r="P49" i="1"/>
  <c r="P143" i="1"/>
  <c r="P98" i="1"/>
  <c r="P84" i="1"/>
  <c r="P97" i="1"/>
  <c r="P150" i="1"/>
  <c r="P54" i="1"/>
  <c r="P90" i="1"/>
  <c r="P149" i="1"/>
  <c r="P61" i="1"/>
  <c r="P83" i="1"/>
  <c r="P55" i="1"/>
  <c r="P66" i="1"/>
  <c r="P99" i="1"/>
  <c r="P85" i="1"/>
  <c r="P77" i="1"/>
  <c r="P151" i="1"/>
  <c r="P117" i="1"/>
  <c r="P57" i="1"/>
  <c r="P133" i="1"/>
  <c r="P86" i="1"/>
  <c r="P64" i="1"/>
  <c r="I6" i="1" s="1"/>
  <c r="P82" i="1"/>
  <c r="P153" i="1"/>
  <c r="P75" i="1"/>
  <c r="P108" i="1"/>
  <c r="P110" i="1"/>
  <c r="P41" i="1"/>
  <c r="P132" i="1"/>
  <c r="P62" i="1"/>
  <c r="P52" i="1"/>
  <c r="F6" i="1" s="1"/>
  <c r="P106" i="1"/>
  <c r="P94" i="1"/>
  <c r="P142" i="1"/>
  <c r="P72" i="1"/>
  <c r="P65" i="1"/>
  <c r="P147" i="1"/>
  <c r="P130" i="1"/>
  <c r="P107" i="1"/>
  <c r="P136" i="1"/>
  <c r="P134" i="1"/>
  <c r="P81" i="1"/>
  <c r="P101" i="1"/>
  <c r="P60" i="1"/>
  <c r="H6" i="1" s="1"/>
  <c r="P129" i="1"/>
  <c r="P91" i="1"/>
  <c r="P109" i="1"/>
  <c r="P74" i="1"/>
  <c r="P146" i="1"/>
  <c r="P126" i="1"/>
  <c r="P53" i="1"/>
  <c r="P87" i="1"/>
  <c r="P58" i="1"/>
  <c r="P125" i="1"/>
  <c r="P92" i="1"/>
  <c r="N6" i="1" s="1"/>
  <c r="P112" i="1"/>
  <c r="O6" i="1" s="1"/>
  <c r="P111" i="1"/>
  <c r="P118" i="1"/>
  <c r="P127" i="1"/>
  <c r="P38" i="1"/>
  <c r="P96" i="1"/>
  <c r="P93" i="1"/>
  <c r="P47" i="1"/>
  <c r="P79" i="1"/>
  <c r="P128" i="1"/>
  <c r="P114" i="1"/>
  <c r="P121" i="1"/>
  <c r="P50" i="1"/>
  <c r="P100" i="1"/>
  <c r="P68" i="1"/>
  <c r="P67" i="1"/>
  <c r="P116" i="1"/>
  <c r="P40" i="1"/>
  <c r="P145" i="1"/>
  <c r="P48" i="1"/>
  <c r="P123" i="1"/>
  <c r="P42" i="1"/>
  <c r="P46" i="1"/>
  <c r="P73" i="1"/>
  <c r="P56" i="1"/>
  <c r="G6" i="1" s="1"/>
  <c r="P44" i="1"/>
  <c r="P135" i="1"/>
  <c r="P122" i="1"/>
  <c r="P80" i="1"/>
  <c r="M6" i="1" s="1"/>
  <c r="P59" i="1"/>
  <c r="P120" i="1"/>
  <c r="P89" i="1"/>
  <c r="P140" i="1"/>
  <c r="P45" i="1"/>
  <c r="P119" i="1"/>
  <c r="P104" i="1"/>
  <c r="P37" i="1"/>
  <c r="J6" i="1"/>
  <c r="K37" i="1"/>
  <c r="M37" i="1" s="1"/>
  <c r="J37" i="1"/>
  <c r="L37" i="1" s="1"/>
  <c r="J146" i="1"/>
  <c r="L146" i="1" s="1"/>
  <c r="K146" i="1"/>
  <c r="M146" i="1" s="1"/>
  <c r="J54" i="1"/>
  <c r="L54" i="1" s="1"/>
  <c r="K54" i="1"/>
  <c r="M54" i="1" s="1"/>
  <c r="J125" i="1"/>
  <c r="L125" i="1" s="1"/>
  <c r="K125" i="1"/>
  <c r="M125" i="1" s="1"/>
  <c r="L6" i="1"/>
  <c r="K76" i="1"/>
  <c r="M76" i="1" s="1"/>
  <c r="J76" i="1"/>
  <c r="L76" i="1" s="1"/>
  <c r="J75" i="1"/>
  <c r="L75" i="1" s="1"/>
  <c r="K75" i="1"/>
  <c r="M75" i="1" s="1"/>
  <c r="J90" i="1"/>
  <c r="L90" i="1" s="1"/>
  <c r="K90" i="1"/>
  <c r="M90" i="1" s="1"/>
  <c r="J79" i="1"/>
  <c r="L79" i="1" s="1"/>
  <c r="K79" i="1"/>
  <c r="M79" i="1" s="1"/>
  <c r="K101" i="1"/>
  <c r="M101" i="1" s="1"/>
  <c r="J101" i="1"/>
  <c r="L101" i="1" s="1"/>
  <c r="K47" i="1"/>
  <c r="M47" i="1" s="1"/>
  <c r="J47" i="1"/>
  <c r="L47" i="1" s="1"/>
  <c r="K85" i="1"/>
  <c r="M85" i="1" s="1"/>
  <c r="J85" i="1"/>
  <c r="L85" i="1" s="1"/>
  <c r="K96" i="1"/>
  <c r="M96" i="1" s="1"/>
  <c r="J96" i="1"/>
  <c r="L96" i="1" s="1"/>
  <c r="J152" i="1"/>
  <c r="L152" i="1" s="1"/>
  <c r="Q6" i="1"/>
  <c r="K152" i="1"/>
  <c r="M152" i="1" s="1"/>
  <c r="J74" i="1"/>
  <c r="L74" i="1" s="1"/>
  <c r="K74" i="1"/>
  <c r="M74" i="1" s="1"/>
  <c r="K135" i="1"/>
  <c r="M135" i="1" s="1"/>
  <c r="J135" i="1"/>
  <c r="L135" i="1" s="1"/>
  <c r="K94" i="1"/>
  <c r="M94" i="1" s="1"/>
  <c r="J94" i="1"/>
  <c r="L94" i="1" s="1"/>
  <c r="K134" i="1"/>
  <c r="M134" i="1" s="1"/>
  <c r="J134" i="1"/>
  <c r="L134" i="1" s="1"/>
  <c r="K117" i="1"/>
  <c r="M117" i="1" s="1"/>
  <c r="J117" i="1"/>
  <c r="L117" i="1" s="1"/>
  <c r="J42" i="1"/>
  <c r="L42" i="1" s="1"/>
  <c r="K42" i="1"/>
  <c r="M42" i="1" s="1"/>
  <c r="K129" i="1"/>
  <c r="M129" i="1" s="1"/>
  <c r="J129" i="1"/>
  <c r="L129" i="1" s="1"/>
  <c r="J100" i="1"/>
  <c r="L100" i="1" s="1"/>
  <c r="K100" i="1"/>
  <c r="M100" i="1" s="1"/>
  <c r="K91" i="1"/>
  <c r="M91" i="1" s="1"/>
  <c r="J91" i="1"/>
  <c r="L91" i="1" s="1"/>
  <c r="J112" i="1"/>
  <c r="L112" i="1" s="1"/>
  <c r="K112" i="1"/>
  <c r="M112" i="1" s="1"/>
  <c r="K113" i="1"/>
  <c r="M113" i="1" s="1"/>
  <c r="J113" i="1"/>
  <c r="L113" i="1" s="1"/>
  <c r="K57" i="1"/>
  <c r="M57" i="1" s="1"/>
  <c r="J57" i="1"/>
  <c r="L57" i="1" s="1"/>
  <c r="K139" i="1"/>
  <c r="M139" i="1" s="1"/>
  <c r="J139" i="1"/>
  <c r="L139" i="1" s="1"/>
  <c r="K63" i="1"/>
  <c r="M63" i="1" s="1"/>
  <c r="J63" i="1"/>
  <c r="L63" i="1" s="1"/>
  <c r="K118" i="1"/>
  <c r="M118" i="1" s="1"/>
  <c r="J118" i="1"/>
  <c r="L118" i="1" s="1"/>
  <c r="J84" i="1"/>
  <c r="L84" i="1" s="1"/>
  <c r="K84" i="1"/>
  <c r="M84" i="1" s="1"/>
  <c r="J50" i="1"/>
  <c r="L50" i="1" s="1"/>
  <c r="K50" i="1"/>
  <c r="M50" i="1" s="1"/>
  <c r="K147" i="1"/>
  <c r="M147" i="1" s="1"/>
  <c r="J147" i="1"/>
  <c r="L147" i="1" s="1"/>
  <c r="K6" i="1"/>
  <c r="K72" i="1"/>
  <c r="M72" i="1" s="1"/>
  <c r="J72" i="1"/>
  <c r="L72" i="1" s="1"/>
  <c r="J128" i="1"/>
  <c r="L128" i="1" s="1"/>
  <c r="K128" i="1"/>
  <c r="M128" i="1" s="1"/>
  <c r="K108" i="1"/>
  <c r="M108" i="1" s="1"/>
  <c r="J108" i="1"/>
  <c r="L108" i="1" s="1"/>
  <c r="J130" i="1"/>
  <c r="L130" i="1" s="1"/>
  <c r="K130" i="1"/>
  <c r="M130" i="1" s="1"/>
  <c r="J145" i="1"/>
  <c r="L145" i="1" s="1"/>
  <c r="K145" i="1"/>
  <c r="M145" i="1" s="1"/>
  <c r="J150" i="1"/>
  <c r="L150" i="1" s="1"/>
  <c r="K150" i="1"/>
  <c r="M150" i="1" s="1"/>
  <c r="K114" i="1"/>
  <c r="M114" i="1" s="1"/>
  <c r="J114" i="1"/>
  <c r="L114" i="1" s="1"/>
  <c r="K122" i="1"/>
  <c r="M122" i="1" s="1"/>
  <c r="J122" i="1"/>
  <c r="L122" i="1" s="1"/>
  <c r="K82" i="1"/>
  <c r="M82" i="1" s="1"/>
  <c r="J82" i="1"/>
  <c r="L82" i="1" s="1"/>
  <c r="J49" i="1"/>
  <c r="L49" i="1" s="1"/>
  <c r="K49" i="1"/>
  <c r="M49" i="1" s="1"/>
  <c r="K56" i="1"/>
  <c r="M56" i="1" s="1"/>
  <c r="J56" i="1"/>
  <c r="L56" i="1" s="1"/>
  <c r="J55" i="1"/>
  <c r="L55" i="1" s="1"/>
  <c r="K55" i="1"/>
  <c r="M55" i="1" s="1"/>
  <c r="J123" i="1"/>
  <c r="L123" i="1" s="1"/>
  <c r="K123" i="1"/>
  <c r="M123" i="1" s="1"/>
  <c r="K124" i="1"/>
  <c r="M124" i="1" s="1"/>
  <c r="J124" i="1"/>
  <c r="L124" i="1" s="1"/>
  <c r="K102" i="1"/>
  <c r="M102" i="1" s="1"/>
  <c r="J102" i="1"/>
  <c r="L102" i="1" s="1"/>
  <c r="K127" i="1"/>
  <c r="M127" i="1" s="1"/>
  <c r="J127" i="1"/>
  <c r="L127" i="1" s="1"/>
  <c r="J71" i="1"/>
  <c r="L71" i="1" s="1"/>
  <c r="K71" i="1"/>
  <c r="M71" i="1" s="1"/>
  <c r="K105" i="1"/>
  <c r="M105" i="1" s="1"/>
  <c r="J105" i="1"/>
  <c r="L105" i="1" s="1"/>
  <c r="K59" i="1"/>
  <c r="M59" i="1" s="1"/>
  <c r="J59" i="1"/>
  <c r="L59" i="1" s="1"/>
  <c r="K65" i="1"/>
  <c r="M65" i="1" s="1"/>
  <c r="J65" i="1"/>
  <c r="L65" i="1" s="1"/>
  <c r="K110" i="1"/>
  <c r="M110" i="1" s="1"/>
  <c r="J110" i="1"/>
  <c r="L110" i="1" s="1"/>
  <c r="K131" i="1"/>
  <c r="M131" i="1" s="1"/>
  <c r="J131" i="1"/>
  <c r="L131" i="1" s="1"/>
  <c r="K64" i="1"/>
  <c r="M64" i="1" s="1"/>
  <c r="J64" i="1"/>
  <c r="L64" i="1" s="1"/>
  <c r="K137" i="1"/>
  <c r="M137" i="1" s="1"/>
  <c r="J137" i="1"/>
  <c r="L137" i="1" s="1"/>
  <c r="J89" i="1"/>
  <c r="L89" i="1" s="1"/>
  <c r="K89" i="1"/>
  <c r="M89" i="1" s="1"/>
  <c r="K151" i="1"/>
  <c r="M151" i="1" s="1"/>
  <c r="J151" i="1"/>
  <c r="L151" i="1" s="1"/>
  <c r="J62" i="1"/>
  <c r="L62" i="1" s="1"/>
  <c r="K62" i="1"/>
  <c r="M62" i="1" s="1"/>
  <c r="K60" i="1"/>
  <c r="M60" i="1" s="1"/>
  <c r="J60" i="1"/>
  <c r="L60" i="1" s="1"/>
  <c r="K143" i="1"/>
  <c r="M143" i="1" s="1"/>
  <c r="J143" i="1"/>
  <c r="L143" i="1" s="1"/>
  <c r="J86" i="1"/>
  <c r="L86" i="1" s="1"/>
  <c r="K86" i="1"/>
  <c r="M86" i="1" s="1"/>
  <c r="J46" i="1"/>
  <c r="L46" i="1" s="1"/>
  <c r="K46" i="1"/>
  <c r="M46" i="1" s="1"/>
  <c r="K116" i="1"/>
  <c r="M116" i="1" s="1"/>
  <c r="J116" i="1"/>
  <c r="L116" i="1" s="1"/>
  <c r="J148" i="1"/>
  <c r="L148" i="1" s="1"/>
  <c r="K148" i="1"/>
  <c r="M148" i="1" s="1"/>
  <c r="K58" i="1"/>
  <c r="M58" i="1" s="1"/>
  <c r="J58" i="1"/>
  <c r="L58" i="1" s="1"/>
  <c r="K126" i="1"/>
  <c r="M126" i="1" s="1"/>
  <c r="J126" i="1"/>
  <c r="L126" i="1" s="1"/>
  <c r="K78" i="1"/>
  <c r="M78" i="1" s="1"/>
  <c r="J78" i="1"/>
  <c r="L78" i="1" s="1"/>
  <c r="K153" i="1"/>
  <c r="M153" i="1" s="1"/>
  <c r="J153" i="1"/>
  <c r="L153" i="1" s="1"/>
  <c r="K48" i="1"/>
  <c r="M48" i="1" s="1"/>
  <c r="J48" i="1"/>
  <c r="L48" i="1" s="1"/>
  <c r="E6" i="1"/>
  <c r="J142" i="1"/>
  <c r="L142" i="1" s="1"/>
  <c r="K142" i="1"/>
  <c r="M142" i="1" s="1"/>
  <c r="J45" i="1"/>
  <c r="L45" i="1" s="1"/>
  <c r="K45" i="1"/>
  <c r="M45" i="1" s="1"/>
  <c r="K61" i="1"/>
  <c r="M61" i="1" s="1"/>
  <c r="J61" i="1"/>
  <c r="L61" i="1" s="1"/>
  <c r="K40" i="1"/>
  <c r="M40" i="1" s="1"/>
  <c r="J40" i="1"/>
  <c r="L40" i="1" s="1"/>
  <c r="C6" i="1"/>
  <c r="K133" i="1"/>
  <c r="M133" i="1" s="1"/>
  <c r="J133" i="1"/>
  <c r="L133" i="1" s="1"/>
  <c r="J81" i="1"/>
  <c r="L81" i="1" s="1"/>
  <c r="K81" i="1"/>
  <c r="M81" i="1" s="1"/>
  <c r="J92" i="1"/>
  <c r="L92" i="1" s="1"/>
  <c r="K92" i="1"/>
  <c r="M92" i="1" s="1"/>
  <c r="J66" i="1"/>
  <c r="L66" i="1" s="1"/>
  <c r="K66" i="1"/>
  <c r="M66" i="1" s="1"/>
  <c r="J140" i="1"/>
  <c r="L140" i="1" s="1"/>
  <c r="K140" i="1"/>
  <c r="M140" i="1" s="1"/>
  <c r="K77" i="1"/>
  <c r="M77" i="1" s="1"/>
  <c r="J77" i="1"/>
  <c r="L77" i="1" s="1"/>
  <c r="J132" i="1"/>
  <c r="L132" i="1" s="1"/>
  <c r="P6" i="1"/>
  <c r="K132" i="1"/>
  <c r="M132" i="1" s="1"/>
  <c r="K141" i="1"/>
  <c r="M141" i="1" s="1"/>
  <c r="J141" i="1"/>
  <c r="L141" i="1" s="1"/>
  <c r="K41" i="1"/>
  <c r="M41" i="1" s="1"/>
  <c r="J41" i="1"/>
  <c r="L41" i="1" s="1"/>
  <c r="J67" i="1"/>
  <c r="L67" i="1" s="1"/>
  <c r="K67" i="1"/>
  <c r="M67" i="1" s="1"/>
  <c r="K107" i="1"/>
  <c r="M107" i="1" s="1"/>
  <c r="J107" i="1"/>
  <c r="L107" i="1" s="1"/>
  <c r="J106" i="1"/>
  <c r="L106" i="1" s="1"/>
  <c r="K106" i="1"/>
  <c r="M106" i="1" s="1"/>
  <c r="K120" i="1"/>
  <c r="M120" i="1" s="1"/>
  <c r="J120" i="1"/>
  <c r="L120" i="1" s="1"/>
  <c r="K80" i="1"/>
  <c r="M80" i="1" s="1"/>
  <c r="J80" i="1"/>
  <c r="L80" i="1" s="1"/>
  <c r="J88" i="1"/>
  <c r="L88" i="1" s="1"/>
  <c r="K88" i="1"/>
  <c r="M88" i="1" s="1"/>
  <c r="J38" i="1"/>
  <c r="L38" i="1" s="1"/>
  <c r="K38" i="1"/>
  <c r="M38" i="1" s="1"/>
  <c r="J70" i="1"/>
  <c r="L70" i="1" s="1"/>
  <c r="K70" i="1"/>
  <c r="M70" i="1" s="1"/>
  <c r="J51" i="1"/>
  <c r="L51" i="1" s="1"/>
  <c r="K51" i="1"/>
  <c r="M51" i="1" s="1"/>
  <c r="J99" i="1"/>
  <c r="L99" i="1" s="1"/>
  <c r="K99" i="1"/>
  <c r="M99" i="1" s="1"/>
  <c r="J39" i="1"/>
  <c r="L39" i="1" s="1"/>
  <c r="K39" i="1"/>
  <c r="M39" i="1" s="1"/>
  <c r="J98" i="1"/>
  <c r="L98" i="1" s="1"/>
  <c r="K98" i="1"/>
  <c r="M98" i="1" s="1"/>
  <c r="J93" i="1"/>
  <c r="L93" i="1" s="1"/>
  <c r="K93" i="1"/>
  <c r="M93" i="1" s="1"/>
  <c r="K68" i="1"/>
  <c r="M68" i="1" s="1"/>
  <c r="J68" i="1"/>
  <c r="L68" i="1" s="1"/>
  <c r="J104" i="1"/>
  <c r="L104" i="1" s="1"/>
  <c r="K104" i="1"/>
  <c r="M104" i="1" s="1"/>
  <c r="K121" i="1"/>
  <c r="M121" i="1" s="1"/>
  <c r="J121" i="1"/>
  <c r="L121" i="1" s="1"/>
  <c r="J119" i="1"/>
  <c r="L119" i="1" s="1"/>
  <c r="K119" i="1"/>
  <c r="M119" i="1" s="1"/>
  <c r="K95" i="1"/>
  <c r="M95" i="1" s="1"/>
  <c r="J95" i="1"/>
  <c r="L95" i="1" s="1"/>
  <c r="J103" i="1"/>
  <c r="L103" i="1" s="1"/>
  <c r="K103" i="1"/>
  <c r="M103" i="1" s="1"/>
  <c r="K149" i="1"/>
  <c r="M149" i="1" s="1"/>
  <c r="J149" i="1"/>
  <c r="L149" i="1" s="1"/>
  <c r="J136" i="1"/>
  <c r="L136" i="1" s="1"/>
  <c r="K136" i="1"/>
  <c r="M136" i="1" s="1"/>
  <c r="K144" i="1"/>
  <c r="M144" i="1" s="1"/>
  <c r="J144" i="1"/>
  <c r="L144" i="1" s="1"/>
  <c r="K52" i="1"/>
  <c r="M52" i="1" s="1"/>
  <c r="J52" i="1"/>
  <c r="L52" i="1" s="1"/>
  <c r="J43" i="1"/>
  <c r="L43" i="1" s="1"/>
  <c r="K43" i="1"/>
  <c r="M43" i="1" s="1"/>
  <c r="K115" i="1"/>
  <c r="M115" i="1" s="1"/>
  <c r="J115" i="1"/>
  <c r="L115" i="1" s="1"/>
  <c r="K73" i="1"/>
  <c r="M73" i="1" s="1"/>
  <c r="J73" i="1"/>
  <c r="L73" i="1" s="1"/>
  <c r="K53" i="1"/>
  <c r="M53" i="1" s="1"/>
  <c r="J53" i="1"/>
  <c r="L53" i="1" s="1"/>
  <c r="K83" i="1"/>
  <c r="M83" i="1" s="1"/>
  <c r="J83" i="1"/>
  <c r="L83" i="1" s="1"/>
  <c r="K87" i="1"/>
  <c r="M87" i="1" s="1"/>
  <c r="J87" i="1"/>
  <c r="L87" i="1" s="1"/>
  <c r="J109" i="1"/>
  <c r="L109" i="1" s="1"/>
  <c r="K109" i="1"/>
  <c r="M109" i="1" s="1"/>
  <c r="K111" i="1"/>
  <c r="M111" i="1" s="1"/>
  <c r="J111" i="1"/>
  <c r="L111" i="1" s="1"/>
  <c r="J97" i="1"/>
  <c r="L97" i="1" s="1"/>
  <c r="K97" i="1"/>
  <c r="M97" i="1" s="1"/>
  <c r="J138" i="1"/>
  <c r="L138" i="1" s="1"/>
  <c r="K138" i="1"/>
  <c r="M138" i="1" s="1"/>
  <c r="J69" i="1"/>
  <c r="L69" i="1" s="1"/>
  <c r="K69" i="1"/>
  <c r="M69" i="1" s="1"/>
  <c r="K44" i="1"/>
  <c r="M44" i="1" s="1"/>
  <c r="D6" i="1"/>
  <c r="J44" i="1"/>
  <c r="L44" i="1" s="1"/>
  <c r="O37" i="1" l="1"/>
  <c r="O121" i="1"/>
  <c r="O111" i="1"/>
  <c r="O105" i="1"/>
  <c r="O144" i="1"/>
  <c r="O119" i="1"/>
  <c r="O148" i="1"/>
  <c r="O89" i="1"/>
  <c r="O106" i="1"/>
  <c r="O41" i="1"/>
  <c r="O108" i="1"/>
  <c r="O146" i="1"/>
  <c r="O59" i="1"/>
  <c r="O101" i="1"/>
  <c r="O133" i="1"/>
  <c r="O43" i="1"/>
  <c r="O62" i="1"/>
  <c r="O93" i="1"/>
  <c r="O77" i="1"/>
  <c r="O137" i="1"/>
  <c r="O122" i="1"/>
  <c r="O57" i="1"/>
  <c r="O112" i="1"/>
  <c r="O134" i="1"/>
  <c r="O90" i="1"/>
  <c r="O87" i="1"/>
  <c r="O140" i="1"/>
  <c r="O103" i="1"/>
  <c r="O71" i="1"/>
  <c r="O91" i="1"/>
  <c r="O70" i="1"/>
  <c r="O44" i="1"/>
  <c r="O39" i="1"/>
  <c r="O150" i="1"/>
  <c r="O84" i="1"/>
  <c r="O100" i="1"/>
  <c r="O152" i="1"/>
  <c r="O79" i="1"/>
  <c r="O76" i="1"/>
  <c r="O47" i="1"/>
  <c r="O95" i="1"/>
  <c r="O99" i="1"/>
  <c r="O107" i="1"/>
  <c r="O45" i="1"/>
  <c r="O69" i="1"/>
  <c r="O136" i="1"/>
  <c r="O123" i="1"/>
  <c r="O147" i="1"/>
  <c r="O53" i="1"/>
  <c r="O80" i="1"/>
  <c r="O92" i="1"/>
  <c r="O116" i="1"/>
  <c r="O96" i="1"/>
  <c r="O74" i="1"/>
  <c r="O78" i="1"/>
  <c r="O82" i="1"/>
  <c r="O72" i="1"/>
  <c r="O113" i="1"/>
  <c r="O94" i="1"/>
  <c r="O75" i="1"/>
  <c r="O141" i="1"/>
  <c r="O55" i="1"/>
  <c r="O97" i="1"/>
  <c r="O52" i="1"/>
  <c r="O151" i="1"/>
  <c r="O83" i="1"/>
  <c r="O73" i="1"/>
  <c r="O40" i="1"/>
  <c r="O142" i="1"/>
  <c r="O153" i="1"/>
  <c r="O58" i="1"/>
  <c r="O143" i="1"/>
  <c r="O64" i="1"/>
  <c r="O102" i="1"/>
  <c r="O145" i="1"/>
  <c r="O129" i="1"/>
  <c r="O125" i="1"/>
  <c r="O115" i="1"/>
  <c r="O42" i="1"/>
  <c r="O109" i="1"/>
  <c r="O51" i="1"/>
  <c r="O66" i="1"/>
  <c r="O48" i="1"/>
  <c r="O126" i="1"/>
  <c r="O117" i="1"/>
  <c r="O67" i="1"/>
  <c r="O81" i="1"/>
  <c r="O38" i="1"/>
  <c r="O49" i="1"/>
  <c r="O50" i="1"/>
  <c r="O138" i="1"/>
  <c r="O149" i="1"/>
  <c r="O104" i="1"/>
  <c r="O120" i="1"/>
  <c r="O46" i="1"/>
  <c r="O60" i="1"/>
  <c r="O65" i="1"/>
  <c r="O114" i="1"/>
  <c r="O128" i="1"/>
  <c r="O63" i="1"/>
  <c r="O85" i="1"/>
  <c r="O54" i="1"/>
  <c r="O88" i="1"/>
  <c r="O132" i="1"/>
  <c r="O61" i="1"/>
  <c r="O86" i="1"/>
  <c r="O131" i="1"/>
  <c r="O124" i="1"/>
  <c r="O56" i="1"/>
  <c r="O130" i="1"/>
  <c r="O110" i="1"/>
  <c r="O98" i="1"/>
  <c r="O68" i="1"/>
  <c r="O139" i="1"/>
  <c r="O127" i="1"/>
  <c r="O118" i="1"/>
  <c r="O135" i="1"/>
</calcChain>
</file>

<file path=xl/sharedStrings.xml><?xml version="1.0" encoding="utf-8"?>
<sst xmlns="http://schemas.openxmlformats.org/spreadsheetml/2006/main" count="70" uniqueCount="69">
  <si>
    <r>
      <t>Times (t</t>
    </r>
    <r>
      <rPr>
        <sz val="8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's in years):</t>
    </r>
  </si>
  <si>
    <t>Current LIBOR/Swap Rates (%):</t>
  </si>
  <si>
    <t>Current Market Data</t>
  </si>
  <si>
    <t>LIBOR Market Model Parameters</t>
  </si>
  <si>
    <t>Number of Simulation Paths:</t>
  </si>
  <si>
    <t>Number of Paths to Plot:</t>
  </si>
  <si>
    <t>Calculation Method:</t>
  </si>
  <si>
    <t>LMM-Computation Dropdown</t>
  </si>
  <si>
    <t>GPU</t>
  </si>
  <si>
    <t>Sample Paths</t>
  </si>
  <si>
    <t>Simulation Number</t>
  </si>
  <si>
    <r>
      <t>F</t>
    </r>
    <r>
      <rPr>
        <i/>
        <vertAlign val="subscript"/>
        <sz val="11"/>
        <color theme="1"/>
        <rFont val="Calibri"/>
        <family val="2"/>
        <scheme val="minor"/>
      </rPr>
      <t>i</t>
    </r>
  </si>
  <si>
    <t>LMM Sample Path Plots</t>
  </si>
  <si>
    <t>Forward LIBOR/Swap Rates (%):</t>
  </si>
  <si>
    <t>Spot Caplet Volatility Calculations</t>
  </si>
  <si>
    <t>Time</t>
  </si>
  <si>
    <t>Interp Vol</t>
  </si>
  <si>
    <t>Fwd. Rate</t>
  </si>
  <si>
    <t>d1</t>
  </si>
  <si>
    <t>d2</t>
  </si>
  <si>
    <t>N(d1)</t>
  </si>
  <si>
    <t>N(d2)</t>
  </si>
  <si>
    <t>Cap Val.</t>
  </si>
  <si>
    <t>RFR</t>
  </si>
  <si>
    <t>P(0,t)</t>
  </si>
  <si>
    <t>Caplet Val.</t>
  </si>
  <si>
    <t>Imp. Vol.</t>
  </si>
  <si>
    <t>IV Guess</t>
  </si>
  <si>
    <t>Interp LIBOR</t>
  </si>
  <si>
    <t>Sq. Error</t>
  </si>
  <si>
    <t>LIBOR Market Model Derivatives Pricer</t>
  </si>
  <si>
    <t>CPU</t>
  </si>
  <si>
    <t>Author:</t>
  </si>
  <si>
    <t>Douglas James Daly Jr.</t>
  </si>
  <si>
    <t>Version:</t>
  </si>
  <si>
    <t>For pricing non-vanilla interest rate derivatives using the LMM</t>
  </si>
  <si>
    <t xml:space="preserve">    1.  You must enable macros in order for this software to function</t>
  </si>
  <si>
    <r>
      <rPr>
        <b/>
        <sz val="11"/>
        <color theme="1"/>
        <rFont val="Calibri"/>
        <family val="2"/>
        <scheme val="minor"/>
      </rPr>
      <t xml:space="preserve"> </t>
    </r>
    <r>
      <rPr>
        <b/>
        <u/>
        <sz val="11"/>
        <color theme="1"/>
        <rFont val="Calibri"/>
        <family val="2"/>
        <scheme val="minor"/>
      </rPr>
      <t>Note:</t>
    </r>
  </si>
  <si>
    <r>
      <rPr>
        <b/>
        <sz val="11"/>
        <color theme="1"/>
        <rFont val="Calibri"/>
        <family val="2"/>
        <scheme val="minor"/>
      </rPr>
      <t xml:space="preserve"> </t>
    </r>
    <r>
      <rPr>
        <b/>
        <u/>
        <sz val="11"/>
        <color theme="1"/>
        <rFont val="Calibri"/>
        <family val="2"/>
        <scheme val="minor"/>
      </rPr>
      <t>Resources:</t>
    </r>
  </si>
  <si>
    <t>htdocs\getting-started.html</t>
  </si>
  <si>
    <t>README.txt</t>
  </si>
  <si>
    <t>LICENSE.txt</t>
  </si>
  <si>
    <t xml:space="preserve">Getting Started: </t>
  </si>
  <si>
    <t xml:space="preserve">Readme: </t>
  </si>
  <si>
    <t xml:space="preserve">License: </t>
  </si>
  <si>
    <t>Caps and Floors Pricing</t>
  </si>
  <si>
    <t>Cap/Floor:</t>
  </si>
  <si>
    <t>Type:</t>
  </si>
  <si>
    <t>Principal</t>
  </si>
  <si>
    <t>Tenor:</t>
  </si>
  <si>
    <t>Strike:</t>
  </si>
  <si>
    <t>Spread:</t>
  </si>
  <si>
    <t>Caps</t>
  </si>
  <si>
    <t>LMM</t>
  </si>
  <si>
    <t>Cap/Floor</t>
  </si>
  <si>
    <t>Cap</t>
  </si>
  <si>
    <t>Floor</t>
  </si>
  <si>
    <t>Type</t>
  </si>
  <si>
    <t>Sticky</t>
  </si>
  <si>
    <t>Ratchet</t>
  </si>
  <si>
    <t>Rolling</t>
  </si>
  <si>
    <t>Flexi</t>
  </si>
  <si>
    <t>Tenor</t>
  </si>
  <si>
    <t>3 Months</t>
  </si>
  <si>
    <t>6 Months</t>
  </si>
  <si>
    <t>Value:</t>
  </si>
  <si>
    <t>Current Cap Volatilities (%):</t>
  </si>
  <si>
    <t>Current Spot Caplet Volatilities (%):</t>
  </si>
  <si>
    <t>0.2.1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</si>
</sst>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9">
    <xf numFmtId="0" fontId="0" fillId="0" borderId="0" xfId="0"/>
    <xf numFmtId="10" fontId="0" fillId="0" borderId="0" xfId="0" applyNumberFormat="1"/>
    <xf numFmtId="10" fontId="0" fillId="0" borderId="0" xfId="0" applyNumberFormat="1" applyFill="1"/>
    <xf numFmtId="0" fontId="0" fillId="0" borderId="1" xfId="0" applyBorder="1" applyAlignment="1">
      <alignment horizontal="right"/>
    </xf>
    <xf numFmtId="0" fontId="0" fillId="0" borderId="1" xfId="0" applyBorder="1"/>
    <xf numFmtId="0" fontId="0" fillId="4" borderId="7" xfId="0" applyFill="1" applyBorder="1"/>
    <xf numFmtId="0" fontId="0" fillId="5" borderId="8" xfId="0" applyFill="1" applyBorder="1"/>
    <xf numFmtId="10" fontId="0" fillId="3" borderId="7" xfId="0" applyNumberFormat="1" applyFill="1" applyBorder="1"/>
    <xf numFmtId="0" fontId="0" fillId="0" borderId="9" xfId="0" applyBorder="1"/>
    <xf numFmtId="0" fontId="0" fillId="0" borderId="2" xfId="0" applyNumberFormat="1" applyBorder="1"/>
    <xf numFmtId="0" fontId="0" fillId="0" borderId="2" xfId="0" applyBorder="1"/>
    <xf numFmtId="0" fontId="0" fillId="0" borderId="10" xfId="0" applyBorder="1"/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0" borderId="6" xfId="0" applyBorder="1"/>
    <xf numFmtId="0" fontId="4" fillId="0" borderId="0" xfId="0" applyFont="1" applyAlignment="1">
      <alignment horizontal="left"/>
    </xf>
    <xf numFmtId="0" fontId="4" fillId="0" borderId="0" xfId="0" applyFont="1"/>
    <xf numFmtId="0" fontId="0" fillId="0" borderId="3" xfId="0" applyBorder="1"/>
    <xf numFmtId="0" fontId="0" fillId="0" borderId="11" xfId="0" applyBorder="1"/>
    <xf numFmtId="0" fontId="5" fillId="0" borderId="6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0" fillId="0" borderId="3" xfId="0" applyNumberFormat="1" applyBorder="1"/>
    <xf numFmtId="10" fontId="0" fillId="6" borderId="2" xfId="0" applyNumberFormat="1" applyFill="1" applyBorder="1"/>
    <xf numFmtId="10" fontId="0" fillId="6" borderId="10" xfId="0" applyNumberFormat="1" applyFill="1" applyBorder="1"/>
    <xf numFmtId="10" fontId="0" fillId="7" borderId="6" xfId="0" applyNumberFormat="1" applyFill="1" applyBorder="1"/>
    <xf numFmtId="0" fontId="7" fillId="0" borderId="0" xfId="0" applyFont="1"/>
    <xf numFmtId="10" fontId="0" fillId="0" borderId="12" xfId="0" applyNumberFormat="1" applyBorder="1"/>
    <xf numFmtId="0" fontId="0" fillId="0" borderId="13" xfId="0" applyBorder="1"/>
    <xf numFmtId="10" fontId="0" fillId="0" borderId="12" xfId="0" applyNumberFormat="1" applyFill="1" applyBorder="1"/>
    <xf numFmtId="0" fontId="0" fillId="0" borderId="7" xfId="0" applyBorder="1"/>
    <xf numFmtId="0" fontId="0" fillId="8" borderId="0" xfId="0" applyFill="1"/>
    <xf numFmtId="0" fontId="0" fillId="8" borderId="4" xfId="0" applyFill="1" applyBorder="1"/>
    <xf numFmtId="0" fontId="0" fillId="8" borderId="13" xfId="0" applyFill="1" applyBorder="1"/>
    <xf numFmtId="0" fontId="1" fillId="0" borderId="1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2" fontId="0" fillId="0" borderId="0" xfId="0" applyNumberFormat="1"/>
    <xf numFmtId="0" fontId="0" fillId="0" borderId="7" xfId="0" applyFill="1" applyBorder="1" applyAlignment="1">
      <alignment horizontal="right"/>
    </xf>
    <xf numFmtId="0" fontId="0" fillId="0" borderId="7" xfId="0" applyFill="1" applyBorder="1"/>
    <xf numFmtId="10" fontId="0" fillId="6" borderId="2" xfId="0" applyNumberFormat="1" applyFont="1" applyFill="1" applyBorder="1" applyAlignment="1">
      <alignment horizontal="right"/>
    </xf>
    <xf numFmtId="0" fontId="0" fillId="6" borderId="7" xfId="0" applyFill="1" applyBorder="1"/>
    <xf numFmtId="0" fontId="0" fillId="6" borderId="0" xfId="0" applyFill="1"/>
    <xf numFmtId="0" fontId="0" fillId="6" borderId="13" xfId="0" applyFill="1" applyBorder="1"/>
    <xf numFmtId="10" fontId="0" fillId="6" borderId="0" xfId="0" applyNumberFormat="1" applyFill="1"/>
    <xf numFmtId="10" fontId="0" fillId="6" borderId="12" xfId="0" applyNumberFormat="1" applyFill="1" applyBorder="1"/>
    <xf numFmtId="0" fontId="0" fillId="6" borderId="0" xfId="0" applyFont="1" applyFill="1"/>
    <xf numFmtId="0" fontId="0" fillId="6" borderId="13" xfId="0" applyFont="1" applyFill="1" applyBorder="1"/>
    <xf numFmtId="10" fontId="0" fillId="6" borderId="0" xfId="0" applyNumberFormat="1" applyFont="1" applyFill="1"/>
    <xf numFmtId="10" fontId="0" fillId="6" borderId="12" xfId="0" applyNumberFormat="1" applyFont="1" applyFill="1" applyBorder="1"/>
    <xf numFmtId="164" fontId="0" fillId="0" borderId="0" xfId="0" applyNumberFormat="1"/>
    <xf numFmtId="0" fontId="0" fillId="3" borderId="0" xfId="0" applyFill="1"/>
    <xf numFmtId="0" fontId="0" fillId="9" borderId="0" xfId="0" applyFill="1" applyBorder="1"/>
    <xf numFmtId="0" fontId="0" fillId="9" borderId="12" xfId="0" applyFill="1" applyBorder="1"/>
    <xf numFmtId="0" fontId="0" fillId="9" borderId="1" xfId="0" applyFill="1" applyBorder="1"/>
    <xf numFmtId="0" fontId="0" fillId="9" borderId="9" xfId="0" applyFill="1" applyBorder="1"/>
    <xf numFmtId="0" fontId="0" fillId="10" borderId="0" xfId="0" applyFill="1" applyBorder="1"/>
    <xf numFmtId="0" fontId="0" fillId="10" borderId="12" xfId="0" applyFill="1" applyBorder="1"/>
    <xf numFmtId="0" fontId="1" fillId="10" borderId="0" xfId="0" applyFont="1" applyFill="1" applyBorder="1"/>
    <xf numFmtId="0" fontId="0" fillId="10" borderId="0" xfId="0" applyFill="1" applyBorder="1" applyAlignment="1">
      <alignment horizontal="left"/>
    </xf>
    <xf numFmtId="0" fontId="0" fillId="10" borderId="1" xfId="0" applyFill="1" applyBorder="1"/>
    <xf numFmtId="0" fontId="0" fillId="10" borderId="9" xfId="0" applyFill="1" applyBorder="1"/>
    <xf numFmtId="0" fontId="0" fillId="9" borderId="4" xfId="0" applyFill="1" applyBorder="1"/>
    <xf numFmtId="0" fontId="7" fillId="9" borderId="13" xfId="0" applyFont="1" applyFill="1" applyBorder="1" applyAlignment="1">
      <alignment horizontal="left"/>
    </xf>
    <xf numFmtId="0" fontId="0" fillId="9" borderId="13" xfId="0" applyFill="1" applyBorder="1"/>
    <xf numFmtId="0" fontId="0" fillId="9" borderId="5" xfId="0" applyFill="1" applyBorder="1"/>
    <xf numFmtId="0" fontId="0" fillId="9" borderId="3" xfId="0" applyFill="1" applyBorder="1"/>
    <xf numFmtId="0" fontId="0" fillId="9" borderId="11" xfId="0" applyFill="1" applyBorder="1"/>
    <xf numFmtId="0" fontId="7" fillId="9" borderId="13" xfId="0" applyFont="1" applyFill="1" applyBorder="1"/>
    <xf numFmtId="0" fontId="12" fillId="9" borderId="13" xfId="1" applyFont="1" applyFill="1" applyBorder="1" applyAlignment="1">
      <alignment horizontal="right"/>
    </xf>
    <xf numFmtId="0" fontId="0" fillId="9" borderId="13" xfId="0" applyFill="1" applyBorder="1" applyAlignment="1">
      <alignment horizontal="right"/>
    </xf>
    <xf numFmtId="0" fontId="12" fillId="10" borderId="0" xfId="0" applyFont="1" applyFill="1"/>
    <xf numFmtId="0" fontId="5" fillId="10" borderId="1" xfId="0" applyFont="1" applyFill="1" applyBorder="1" applyAlignment="1"/>
    <xf numFmtId="0" fontId="1" fillId="0" borderId="0" xfId="0" applyFont="1"/>
    <xf numFmtId="0" fontId="0" fillId="0" borderId="0" xfId="0" applyBorder="1"/>
    <xf numFmtId="0" fontId="0" fillId="0" borderId="12" xfId="0" applyBorder="1"/>
    <xf numFmtId="0" fontId="0" fillId="0" borderId="15" xfId="0" applyBorder="1" applyAlignment="1">
      <alignment horizontal="right"/>
    </xf>
    <xf numFmtId="0" fontId="1" fillId="6" borderId="6" xfId="0" applyFont="1" applyFill="1" applyBorder="1" applyAlignment="1">
      <alignment horizontal="right"/>
    </xf>
    <xf numFmtId="0" fontId="0" fillId="6" borderId="2" xfId="0" applyFill="1" applyBorder="1"/>
    <xf numFmtId="0" fontId="0" fillId="6" borderId="10" xfId="0" applyFill="1" applyBorder="1"/>
    <xf numFmtId="0" fontId="0" fillId="11" borderId="2" xfId="0" applyFill="1" applyBorder="1"/>
    <xf numFmtId="0" fontId="11" fillId="9" borderId="0" xfId="1" applyFill="1" applyBorder="1" applyAlignment="1">
      <alignment horizontal="left"/>
    </xf>
    <xf numFmtId="0" fontId="10" fillId="10" borderId="3" xfId="0" applyFont="1" applyFill="1" applyBorder="1" applyAlignment="1">
      <alignment horizontal="center"/>
    </xf>
    <xf numFmtId="0" fontId="10" fillId="10" borderId="11" xfId="0" applyFon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0" borderId="4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11" borderId="5" xfId="0" applyFill="1" applyBorder="1" applyAlignment="1">
      <alignment horizontal="right"/>
    </xf>
    <xf numFmtId="0" fontId="0" fillId="11" borderId="9" xfId="0" applyFill="1" applyBorder="1" applyAlignment="1">
      <alignment horizontal="right"/>
    </xf>
    <xf numFmtId="0" fontId="3" fillId="0" borderId="1" xfId="0" applyFont="1" applyFill="1" applyBorder="1" applyAlignment="1">
      <alignment horizontal="left"/>
    </xf>
    <xf numFmtId="0" fontId="4" fillId="0" borderId="1" xfId="0" applyFont="1" applyBorder="1" applyAlignment="1">
      <alignment horizontal="left"/>
    </xf>
    <xf numFmtId="10" fontId="0" fillId="0" borderId="1" xfId="0" applyNumberFormat="1" applyBorder="1"/>
    <xf numFmtId="10" fontId="0" fillId="6" borderId="1" xfId="0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Current LIBOR/Swap Rates</c:v>
          </c:tx>
          <c:spPr>
            <a:ln w="28575"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</c:spPr>
          </c:marker>
          <c:xVal>
            <c:numRef>
              <c:f>Market!$B$2:$Q$2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15</c:v>
                </c:pt>
                <c:pt idx="13">
                  <c:v>20</c:v>
                </c:pt>
                <c:pt idx="14">
                  <c:v>25</c:v>
                </c:pt>
                <c:pt idx="15">
                  <c:v>30</c:v>
                </c:pt>
              </c:numCache>
            </c:numRef>
          </c:xVal>
          <c:yVal>
            <c:numRef>
              <c:f>Market!$B$3:$Q$3</c:f>
              <c:numCache>
                <c:formatCode>0.00%</c:formatCode>
                <c:ptCount val="16"/>
                <c:pt idx="0">
                  <c:v>2.81E-3</c:v>
                </c:pt>
                <c:pt idx="1">
                  <c:v>5.6600000000000001E-3</c:v>
                </c:pt>
                <c:pt idx="2">
                  <c:v>1.01E-2</c:v>
                </c:pt>
                <c:pt idx="3">
                  <c:v>1.439E-2</c:v>
                </c:pt>
                <c:pt idx="4">
                  <c:v>1.8020000000000001E-2</c:v>
                </c:pt>
                <c:pt idx="5">
                  <c:v>2.1080000000000002E-2</c:v>
                </c:pt>
                <c:pt idx="6">
                  <c:v>2.3550000000000001E-2</c:v>
                </c:pt>
                <c:pt idx="7">
                  <c:v>2.5510000000000001E-2</c:v>
                </c:pt>
                <c:pt idx="8">
                  <c:v>2.7119999999999998E-2</c:v>
                </c:pt>
                <c:pt idx="9">
                  <c:v>2.8479999999999998E-2</c:v>
                </c:pt>
                <c:pt idx="10">
                  <c:v>2.9659999999999999E-2</c:v>
                </c:pt>
                <c:pt idx="11">
                  <c:v>3.065E-2</c:v>
                </c:pt>
                <c:pt idx="12">
                  <c:v>3.2770000000000001E-2</c:v>
                </c:pt>
                <c:pt idx="13">
                  <c:v>3.4520000000000002E-2</c:v>
                </c:pt>
                <c:pt idx="14">
                  <c:v>3.5270000000000003E-2</c:v>
                </c:pt>
                <c:pt idx="15">
                  <c:v>3.5610000000000003E-2</c:v>
                </c:pt>
              </c:numCache>
            </c:numRef>
          </c:yVal>
          <c:smooth val="0"/>
        </c:ser>
        <c:ser>
          <c:idx val="2"/>
          <c:order val="2"/>
          <c:tx>
            <c:v>Forward Rates</c:v>
          </c:tx>
          <c:spPr>
            <a:ln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</c:spPr>
          </c:marker>
          <c:xVal>
            <c:numRef>
              <c:f>Market!$B$2:$Q$2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15</c:v>
                </c:pt>
                <c:pt idx="13">
                  <c:v>20</c:v>
                </c:pt>
                <c:pt idx="14">
                  <c:v>25</c:v>
                </c:pt>
                <c:pt idx="15">
                  <c:v>30</c:v>
                </c:pt>
              </c:numCache>
            </c:numRef>
          </c:xVal>
          <c:yVal>
            <c:numRef>
              <c:f>Market!$B$5:$Q$5</c:f>
              <c:numCache>
                <c:formatCode>0.00%</c:formatCode>
                <c:ptCount val="16"/>
                <c:pt idx="0">
                  <c:v>2.81E-3</c:v>
                </c:pt>
                <c:pt idx="1">
                  <c:v>8.5100000000000002E-3</c:v>
                </c:pt>
                <c:pt idx="2">
                  <c:v>1.898E-2</c:v>
                </c:pt>
                <c:pt idx="3">
                  <c:v>2.726E-2</c:v>
                </c:pt>
                <c:pt idx="4">
                  <c:v>3.2540000000000013E-2</c:v>
                </c:pt>
                <c:pt idx="5">
                  <c:v>3.6379999999999996E-2</c:v>
                </c:pt>
                <c:pt idx="6">
                  <c:v>3.8369999999999987E-2</c:v>
                </c:pt>
                <c:pt idx="7">
                  <c:v>3.9230000000000015E-2</c:v>
                </c:pt>
                <c:pt idx="8">
                  <c:v>3.999999999999998E-2</c:v>
                </c:pt>
                <c:pt idx="9">
                  <c:v>4.0720000000000006E-2</c:v>
                </c:pt>
                <c:pt idx="10">
                  <c:v>4.1459999999999997E-2</c:v>
                </c:pt>
                <c:pt idx="11">
                  <c:v>4.1540000000000021E-2</c:v>
                </c:pt>
                <c:pt idx="12">
                  <c:v>4.1249999999999988E-2</c:v>
                </c:pt>
                <c:pt idx="13">
                  <c:v>3.9770000000000007E-2</c:v>
                </c:pt>
                <c:pt idx="14">
                  <c:v>3.8270000000000005E-2</c:v>
                </c:pt>
                <c:pt idx="15">
                  <c:v>3.7309999999999996E-2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170624"/>
        <c:axId val="236171200"/>
      </c:scatterChart>
      <c:scatterChart>
        <c:scatterStyle val="lineMarker"/>
        <c:varyColors val="0"/>
        <c:ser>
          <c:idx val="0"/>
          <c:order val="1"/>
          <c:tx>
            <c:v>Cap Volatilities</c:v>
          </c:tx>
          <c:marker>
            <c:symbol val="circle"/>
            <c:size val="5"/>
          </c:marker>
          <c:xVal>
            <c:numRef>
              <c:f>Market!$B$2:$Q$2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15</c:v>
                </c:pt>
                <c:pt idx="13">
                  <c:v>20</c:v>
                </c:pt>
                <c:pt idx="14">
                  <c:v>25</c:v>
                </c:pt>
                <c:pt idx="15">
                  <c:v>30</c:v>
                </c:pt>
              </c:numCache>
            </c:numRef>
          </c:xVal>
          <c:yVal>
            <c:numRef>
              <c:f>Market!$B$4:$Q$4</c:f>
              <c:numCache>
                <c:formatCode>0.00%</c:formatCode>
                <c:ptCount val="16"/>
                <c:pt idx="0">
                  <c:v>0.65700000000000003</c:v>
                </c:pt>
                <c:pt idx="1">
                  <c:v>0.72299999999999998</c:v>
                </c:pt>
                <c:pt idx="2">
                  <c:v>0.66300000000000003</c:v>
                </c:pt>
                <c:pt idx="3">
                  <c:v>0.55249999999999999</c:v>
                </c:pt>
                <c:pt idx="4">
                  <c:v>0.48199999999999998</c:v>
                </c:pt>
                <c:pt idx="5">
                  <c:v>0.42299999999999999</c:v>
                </c:pt>
                <c:pt idx="6">
                  <c:v>0.39350000000000002</c:v>
                </c:pt>
                <c:pt idx="7">
                  <c:v>0.35749999999999998</c:v>
                </c:pt>
                <c:pt idx="8">
                  <c:v>0.33750000000000002</c:v>
                </c:pt>
                <c:pt idx="9">
                  <c:v>0.32550000000000001</c:v>
                </c:pt>
                <c:pt idx="10">
                  <c:v>0.31074999999999997</c:v>
                </c:pt>
                <c:pt idx="11">
                  <c:v>0.29599999999999999</c:v>
                </c:pt>
                <c:pt idx="12">
                  <c:v>0.27650000000000002</c:v>
                </c:pt>
                <c:pt idx="13">
                  <c:v>0.24399999999999999</c:v>
                </c:pt>
                <c:pt idx="14">
                  <c:v>0.23449999999999999</c:v>
                </c:pt>
                <c:pt idx="15">
                  <c:v>0.22650000000000001</c:v>
                </c:pt>
              </c:numCache>
            </c:numRef>
          </c:yVal>
          <c:smooth val="0"/>
        </c:ser>
        <c:ser>
          <c:idx val="3"/>
          <c:order val="3"/>
          <c:tx>
            <c:v>Caplet Volatilities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Market!$B$36:$B$153</c:f>
              <c:numCache>
                <c:formatCode>General</c:formatCode>
                <c:ptCount val="118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  <c:pt idx="37">
                  <c:v>10.25</c:v>
                </c:pt>
                <c:pt idx="38">
                  <c:v>10.5</c:v>
                </c:pt>
                <c:pt idx="39">
                  <c:v>10.75</c:v>
                </c:pt>
                <c:pt idx="40">
                  <c:v>11</c:v>
                </c:pt>
                <c:pt idx="41">
                  <c:v>11.25</c:v>
                </c:pt>
                <c:pt idx="42">
                  <c:v>11.5</c:v>
                </c:pt>
                <c:pt idx="43">
                  <c:v>11.75</c:v>
                </c:pt>
                <c:pt idx="44">
                  <c:v>12</c:v>
                </c:pt>
                <c:pt idx="45">
                  <c:v>12.25</c:v>
                </c:pt>
                <c:pt idx="46">
                  <c:v>12.5</c:v>
                </c:pt>
                <c:pt idx="47">
                  <c:v>12.75</c:v>
                </c:pt>
                <c:pt idx="48">
                  <c:v>13</c:v>
                </c:pt>
                <c:pt idx="49">
                  <c:v>13.25</c:v>
                </c:pt>
                <c:pt idx="50">
                  <c:v>13.5</c:v>
                </c:pt>
                <c:pt idx="51">
                  <c:v>13.75</c:v>
                </c:pt>
                <c:pt idx="52">
                  <c:v>14</c:v>
                </c:pt>
                <c:pt idx="53">
                  <c:v>14.25</c:v>
                </c:pt>
                <c:pt idx="54">
                  <c:v>14.5</c:v>
                </c:pt>
                <c:pt idx="55">
                  <c:v>14.75</c:v>
                </c:pt>
                <c:pt idx="56">
                  <c:v>15</c:v>
                </c:pt>
                <c:pt idx="57">
                  <c:v>15.25</c:v>
                </c:pt>
                <c:pt idx="58">
                  <c:v>15.5</c:v>
                </c:pt>
                <c:pt idx="59">
                  <c:v>15.75</c:v>
                </c:pt>
                <c:pt idx="60">
                  <c:v>16</c:v>
                </c:pt>
                <c:pt idx="61">
                  <c:v>16.25</c:v>
                </c:pt>
                <c:pt idx="62">
                  <c:v>16.5</c:v>
                </c:pt>
                <c:pt idx="63">
                  <c:v>16.75</c:v>
                </c:pt>
                <c:pt idx="64">
                  <c:v>17</c:v>
                </c:pt>
                <c:pt idx="65">
                  <c:v>17.25</c:v>
                </c:pt>
                <c:pt idx="66">
                  <c:v>17.5</c:v>
                </c:pt>
                <c:pt idx="67">
                  <c:v>17.75</c:v>
                </c:pt>
                <c:pt idx="68">
                  <c:v>18</c:v>
                </c:pt>
                <c:pt idx="69">
                  <c:v>18.25</c:v>
                </c:pt>
                <c:pt idx="70">
                  <c:v>18.5</c:v>
                </c:pt>
                <c:pt idx="71">
                  <c:v>18.75</c:v>
                </c:pt>
                <c:pt idx="72">
                  <c:v>19</c:v>
                </c:pt>
                <c:pt idx="73">
                  <c:v>19.25</c:v>
                </c:pt>
                <c:pt idx="74">
                  <c:v>19.5</c:v>
                </c:pt>
                <c:pt idx="75">
                  <c:v>19.75</c:v>
                </c:pt>
                <c:pt idx="76">
                  <c:v>20</c:v>
                </c:pt>
                <c:pt idx="77">
                  <c:v>20.25</c:v>
                </c:pt>
                <c:pt idx="78">
                  <c:v>20.5</c:v>
                </c:pt>
                <c:pt idx="79">
                  <c:v>20.75</c:v>
                </c:pt>
                <c:pt idx="80">
                  <c:v>21</c:v>
                </c:pt>
                <c:pt idx="81">
                  <c:v>21.25</c:v>
                </c:pt>
                <c:pt idx="82">
                  <c:v>21.5</c:v>
                </c:pt>
                <c:pt idx="83">
                  <c:v>21.75</c:v>
                </c:pt>
                <c:pt idx="84">
                  <c:v>22</c:v>
                </c:pt>
                <c:pt idx="85">
                  <c:v>22.25</c:v>
                </c:pt>
                <c:pt idx="86">
                  <c:v>22.5</c:v>
                </c:pt>
                <c:pt idx="87">
                  <c:v>22.75</c:v>
                </c:pt>
                <c:pt idx="88">
                  <c:v>23</c:v>
                </c:pt>
                <c:pt idx="89">
                  <c:v>23.25</c:v>
                </c:pt>
                <c:pt idx="90">
                  <c:v>23.5</c:v>
                </c:pt>
                <c:pt idx="91">
                  <c:v>23.75</c:v>
                </c:pt>
                <c:pt idx="92">
                  <c:v>24</c:v>
                </c:pt>
                <c:pt idx="93">
                  <c:v>24.25</c:v>
                </c:pt>
                <c:pt idx="94">
                  <c:v>24.5</c:v>
                </c:pt>
                <c:pt idx="95">
                  <c:v>24.75</c:v>
                </c:pt>
                <c:pt idx="96">
                  <c:v>25</c:v>
                </c:pt>
                <c:pt idx="97">
                  <c:v>25.25</c:v>
                </c:pt>
                <c:pt idx="98">
                  <c:v>25.5</c:v>
                </c:pt>
                <c:pt idx="99">
                  <c:v>25.75</c:v>
                </c:pt>
                <c:pt idx="100">
                  <c:v>26</c:v>
                </c:pt>
                <c:pt idx="101">
                  <c:v>26.25</c:v>
                </c:pt>
                <c:pt idx="102">
                  <c:v>26.5</c:v>
                </c:pt>
                <c:pt idx="103">
                  <c:v>26.75</c:v>
                </c:pt>
                <c:pt idx="104">
                  <c:v>27</c:v>
                </c:pt>
                <c:pt idx="105">
                  <c:v>27.25</c:v>
                </c:pt>
                <c:pt idx="106">
                  <c:v>27.5</c:v>
                </c:pt>
                <c:pt idx="107">
                  <c:v>27.75</c:v>
                </c:pt>
                <c:pt idx="108">
                  <c:v>28</c:v>
                </c:pt>
                <c:pt idx="109">
                  <c:v>28.25</c:v>
                </c:pt>
                <c:pt idx="110">
                  <c:v>28.5</c:v>
                </c:pt>
                <c:pt idx="111">
                  <c:v>28.75</c:v>
                </c:pt>
                <c:pt idx="112">
                  <c:v>29</c:v>
                </c:pt>
                <c:pt idx="113">
                  <c:v>29.25</c:v>
                </c:pt>
                <c:pt idx="114">
                  <c:v>29.5</c:v>
                </c:pt>
                <c:pt idx="115">
                  <c:v>29.75</c:v>
                </c:pt>
                <c:pt idx="116">
                  <c:v>30</c:v>
                </c:pt>
                <c:pt idx="117">
                  <c:v>30.25</c:v>
                </c:pt>
              </c:numCache>
            </c:numRef>
          </c:xVal>
          <c:yVal>
            <c:numRef>
              <c:f>Market!$P$36:$P$153</c:f>
              <c:numCache>
                <c:formatCode>General</c:formatCode>
                <c:ptCount val="118"/>
                <c:pt idx="0">
                  <c:v>0.65700000000000003</c:v>
                </c:pt>
                <c:pt idx="1">
                  <c:v>0.37508199939430398</c:v>
                </c:pt>
                <c:pt idx="2">
                  <c:v>0.46282926181591927</c:v>
                </c:pt>
                <c:pt idx="3">
                  <c:v>0.50437041982271169</c:v>
                </c:pt>
                <c:pt idx="4">
                  <c:v>0.53759492299399403</c:v>
                </c:pt>
                <c:pt idx="5">
                  <c:v>0.37102459420313655</c:v>
                </c:pt>
                <c:pt idx="6">
                  <c:v>0.41090592020129063</c:v>
                </c:pt>
                <c:pt idx="7">
                  <c:v>0.4211305398023259</c:v>
                </c:pt>
                <c:pt idx="8">
                  <c:v>0.41869341422924411</c:v>
                </c:pt>
                <c:pt idx="9">
                  <c:v>0.38710562537098259</c:v>
                </c:pt>
                <c:pt idx="10">
                  <c:v>0.34929089608659319</c:v>
                </c:pt>
                <c:pt idx="11">
                  <c:v>0.31221868335209646</c:v>
                </c:pt>
                <c:pt idx="12">
                  <c:v>0.27571394879047667</c:v>
                </c:pt>
                <c:pt idx="13">
                  <c:v>0.342160203256343</c:v>
                </c:pt>
                <c:pt idx="14">
                  <c:v>0.31139060001046115</c:v>
                </c:pt>
                <c:pt idx="15">
                  <c:v>0.28175341929562486</c:v>
                </c:pt>
                <c:pt idx="16">
                  <c:v>0.25304826682559961</c:v>
                </c:pt>
                <c:pt idx="17">
                  <c:v>0.27443211469106898</c:v>
                </c:pt>
                <c:pt idx="18">
                  <c:v>0.24857538159955986</c:v>
                </c:pt>
                <c:pt idx="19">
                  <c:v>0.22330034482576847</c:v>
                </c:pt>
                <c:pt idx="20">
                  <c:v>0.19853589987242348</c:v>
                </c:pt>
                <c:pt idx="21">
                  <c:v>0.2916415402086473</c:v>
                </c:pt>
                <c:pt idx="22">
                  <c:v>0.27691279409025582</c:v>
                </c:pt>
                <c:pt idx="23">
                  <c:v>0.26238532864243436</c:v>
                </c:pt>
                <c:pt idx="24">
                  <c:v>0.24803772361779816</c:v>
                </c:pt>
                <c:pt idx="25">
                  <c:v>0.2425723851254161</c:v>
                </c:pt>
                <c:pt idx="26">
                  <c:v>0.22579076840393938</c:v>
                </c:pt>
                <c:pt idx="27">
                  <c:v>0.20906522571818903</c:v>
                </c:pt>
                <c:pt idx="28">
                  <c:v>0.19238577115941186</c:v>
                </c:pt>
                <c:pt idx="29">
                  <c:v>0.24444969315518805</c:v>
                </c:pt>
                <c:pt idx="30">
                  <c:v>0.23456470862343776</c:v>
                </c:pt>
                <c:pt idx="31">
                  <c:v>0.22470344442106799</c:v>
                </c:pt>
                <c:pt idx="32">
                  <c:v>0.21486157365087974</c:v>
                </c:pt>
                <c:pt idx="33">
                  <c:v>0.24663893911195442</c:v>
                </c:pt>
                <c:pt idx="34">
                  <c:v>0.2403247550953444</c:v>
                </c:pt>
                <c:pt idx="35">
                  <c:v>0.23402203317212331</c:v>
                </c:pt>
                <c:pt idx="36">
                  <c:v>0.22772837572780841</c:v>
                </c:pt>
                <c:pt idx="37">
                  <c:v>0.2048039006310208</c:v>
                </c:pt>
                <c:pt idx="38">
                  <c:v>0.19738161846235816</c:v>
                </c:pt>
                <c:pt idx="39">
                  <c:v>0.18996506445706018</c:v>
                </c:pt>
                <c:pt idx="40">
                  <c:v>0.18255203823086957</c:v>
                </c:pt>
                <c:pt idx="41">
                  <c:v>0.20580738748634911</c:v>
                </c:pt>
                <c:pt idx="42">
                  <c:v>0.1986844068678289</c:v>
                </c:pt>
                <c:pt idx="43">
                  <c:v>0.19154265942462204</c:v>
                </c:pt>
                <c:pt idx="44">
                  <c:v>0.18438082693575203</c:v>
                </c:pt>
                <c:pt idx="45">
                  <c:v>0.24969081744870497</c:v>
                </c:pt>
                <c:pt idx="46">
                  <c:v>0.24658635471475576</c:v>
                </c:pt>
                <c:pt idx="47">
                  <c:v>0.24346947593295146</c:v>
                </c:pt>
                <c:pt idx="48">
                  <c:v>0.24033991926308554</c:v>
                </c:pt>
                <c:pt idx="49">
                  <c:v>0.23719742037144706</c:v>
                </c:pt>
                <c:pt idx="50">
                  <c:v>0.23404171188471359</c:v>
                </c:pt>
                <c:pt idx="51">
                  <c:v>0.23087252287176421</c:v>
                </c:pt>
                <c:pt idx="52">
                  <c:v>0.22768957751543778</c:v>
                </c:pt>
                <c:pt idx="53">
                  <c:v>0.22449259929124829</c:v>
                </c:pt>
                <c:pt idx="54">
                  <c:v>0.22128130102023977</c:v>
                </c:pt>
                <c:pt idx="55">
                  <c:v>0.21805539329114321</c:v>
                </c:pt>
                <c:pt idx="56">
                  <c:v>0.21481458028107447</c:v>
                </c:pt>
                <c:pt idx="57">
                  <c:v>0.22649628606492409</c:v>
                </c:pt>
                <c:pt idx="58">
                  <c:v>0.2236221797146673</c:v>
                </c:pt>
                <c:pt idx="59">
                  <c:v>0.22073928358300857</c:v>
                </c:pt>
                <c:pt idx="60">
                  <c:v>0.21784759226089745</c:v>
                </c:pt>
                <c:pt idx="61">
                  <c:v>0.2149470977066327</c:v>
                </c:pt>
                <c:pt idx="62">
                  <c:v>0.21203778929633368</c:v>
                </c:pt>
                <c:pt idx="63">
                  <c:v>0.20911965387283218</c:v>
                </c:pt>
                <c:pt idx="64">
                  <c:v>0.20619267579370898</c:v>
                </c:pt>
                <c:pt idx="65">
                  <c:v>0.20325683697868771</c:v>
                </c:pt>
                <c:pt idx="66">
                  <c:v>0.20031211695714085</c:v>
                </c:pt>
                <c:pt idx="67">
                  <c:v>0.19735849291582744</c:v>
                </c:pt>
                <c:pt idx="68">
                  <c:v>0.19439593974765018</c:v>
                </c:pt>
                <c:pt idx="69">
                  <c:v>0.191424430101725</c:v>
                </c:pt>
                <c:pt idx="70">
                  <c:v>0.18844393443514873</c:v>
                </c:pt>
                <c:pt idx="71">
                  <c:v>0.18545442106708315</c:v>
                </c:pt>
                <c:pt idx="72">
                  <c:v>0.18245585623557442</c:v>
                </c:pt>
                <c:pt idx="73">
                  <c:v>0.17944820415740537</c:v>
                </c:pt>
                <c:pt idx="74">
                  <c:v>0.17643142709180837</c:v>
                </c:pt>
                <c:pt idx="75">
                  <c:v>0.17340548540821521</c:v>
                </c:pt>
                <c:pt idx="76">
                  <c:v>0.17037033765880574</c:v>
                </c:pt>
                <c:pt idx="77">
                  <c:v>0.24696989470200395</c:v>
                </c:pt>
                <c:pt idx="78">
                  <c:v>0.24654503550072662</c:v>
                </c:pt>
                <c:pt idx="79">
                  <c:v>0.24612205096922624</c:v>
                </c:pt>
                <c:pt idx="80">
                  <c:v>0.24570105525897135</c:v>
                </c:pt>
                <c:pt idx="81">
                  <c:v>0.24528216356967586</c:v>
                </c:pt>
                <c:pt idx="82">
                  <c:v>0.24486549225840676</c:v>
                </c:pt>
                <c:pt idx="83">
                  <c:v>0.24445115894728806</c:v>
                </c:pt>
                <c:pt idx="84">
                  <c:v>0.24403928262959437</c:v>
                </c:pt>
                <c:pt idx="85">
                  <c:v>0.24362998377504555</c:v>
                </c:pt>
                <c:pt idx="86">
                  <c:v>0.24322338443419753</c:v>
                </c:pt>
                <c:pt idx="87">
                  <c:v>0.24281960834223176</c:v>
                </c:pt>
                <c:pt idx="88">
                  <c:v>0.24241878205705836</c:v>
                </c:pt>
                <c:pt idx="89">
                  <c:v>0.24202102928503286</c:v>
                </c:pt>
                <c:pt idx="90">
                  <c:v>0.24162648295969985</c:v>
                </c:pt>
                <c:pt idx="91">
                  <c:v>0.24123527371034323</c:v>
                </c:pt>
                <c:pt idx="92">
                  <c:v>0.24084753524818109</c:v>
                </c:pt>
                <c:pt idx="93">
                  <c:v>0.24046340359293933</c:v>
                </c:pt>
                <c:pt idx="94">
                  <c:v>0.24008301717903258</c:v>
                </c:pt>
                <c:pt idx="95">
                  <c:v>0.23970651696255177</c:v>
                </c:pt>
                <c:pt idx="96">
                  <c:v>0.23933404652988821</c:v>
                </c:pt>
                <c:pt idx="97">
                  <c:v>0.22749717827165028</c:v>
                </c:pt>
                <c:pt idx="98">
                  <c:v>0.2269595753285584</c:v>
                </c:pt>
                <c:pt idx="99">
                  <c:v>0.22642148256446129</c:v>
                </c:pt>
                <c:pt idx="100">
                  <c:v>0.22588293160622347</c:v>
                </c:pt>
                <c:pt idx="101">
                  <c:v>0.225343954342902</c:v>
                </c:pt>
                <c:pt idx="102">
                  <c:v>0.22480458294849537</c:v>
                </c:pt>
                <c:pt idx="103">
                  <c:v>0.22426484990338408</c:v>
                </c:pt>
                <c:pt idx="104">
                  <c:v>0.22372478801659254</c:v>
                </c:pt>
                <c:pt idx="105">
                  <c:v>0.22318443044678413</c:v>
                </c:pt>
                <c:pt idx="106">
                  <c:v>0.2226438107238175</c:v>
                </c:pt>
                <c:pt idx="107">
                  <c:v>0.22210296276953739</c:v>
                </c:pt>
                <c:pt idx="108">
                  <c:v>0.22156192091883187</c:v>
                </c:pt>
                <c:pt idx="109">
                  <c:v>0.22102071994029196</c:v>
                </c:pt>
                <c:pt idx="110">
                  <c:v>0.22047939505672368</c:v>
                </c:pt>
                <c:pt idx="111">
                  <c:v>0.2199379819659408</c:v>
                </c:pt>
                <c:pt idx="112">
                  <c:v>0.21939651686109063</c:v>
                </c:pt>
                <c:pt idx="113">
                  <c:v>0.21885503645116888</c:v>
                </c:pt>
                <c:pt idx="114">
                  <c:v>0.21831357798144671</c:v>
                </c:pt>
                <c:pt idx="115">
                  <c:v>0.21777217925408657</c:v>
                </c:pt>
                <c:pt idx="116">
                  <c:v>0.21723087864859619</c:v>
                </c:pt>
                <c:pt idx="117">
                  <c:v>0.21668971514227645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172352"/>
        <c:axId val="236171776"/>
      </c:scatterChart>
      <c:valAx>
        <c:axId val="236170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6171200"/>
        <c:crosses val="autoZero"/>
        <c:crossBetween val="midCat"/>
        <c:majorUnit val="1"/>
        <c:minorUnit val="0.25"/>
      </c:valAx>
      <c:valAx>
        <c:axId val="23617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Rate (%)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236170624"/>
        <c:crosses val="autoZero"/>
        <c:crossBetween val="midCat"/>
      </c:valAx>
      <c:valAx>
        <c:axId val="2361717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Volatility (%)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236172352"/>
        <c:crosses val="max"/>
        <c:crossBetween val="midCat"/>
      </c:valAx>
      <c:valAx>
        <c:axId val="236172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617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7</xdr:row>
      <xdr:rowOff>7620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24000" cy="152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6</xdr:row>
      <xdr:rowOff>30480</xdr:rowOff>
    </xdr:from>
    <xdr:to>
      <xdr:col>17</xdr:col>
      <xdr:colOff>152400</xdr:colOff>
      <xdr:row>29</xdr:row>
      <xdr:rowOff>60960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4</xdr:row>
          <xdr:rowOff>15240</xdr:rowOff>
        </xdr:from>
        <xdr:to>
          <xdr:col>19</xdr:col>
          <xdr:colOff>0</xdr:colOff>
          <xdr:row>5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</xdr:row>
          <xdr:rowOff>22860</xdr:rowOff>
        </xdr:from>
        <xdr:to>
          <xdr:col>5</xdr:col>
          <xdr:colOff>594360</xdr:colOff>
          <xdr:row>2</xdr:row>
          <xdr:rowOff>167640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1</xdr:row>
          <xdr:rowOff>15240</xdr:rowOff>
        </xdr:from>
        <xdr:to>
          <xdr:col>4</xdr:col>
          <xdr:colOff>594360</xdr:colOff>
          <xdr:row>2</xdr:row>
          <xdr:rowOff>175260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LICENSE.txt" TargetMode="External"/><Relationship Id="rId2" Type="http://schemas.openxmlformats.org/officeDocument/2006/relationships/hyperlink" Target="README.txt" TargetMode="External"/><Relationship Id="rId1" Type="http://schemas.openxmlformats.org/officeDocument/2006/relationships/hyperlink" Target="htdocs\getting-started.html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0"/>
  <sheetViews>
    <sheetView tabSelected="1" workbookViewId="0">
      <selection activeCell="A31" sqref="A31"/>
    </sheetView>
  </sheetViews>
  <sheetFormatPr defaultRowHeight="14.4" x14ac:dyDescent="0.3"/>
  <cols>
    <col min="1" max="1" width="22.21875" style="55" customWidth="1"/>
    <col min="2" max="16384" width="8.88671875" style="55"/>
  </cols>
  <sheetData>
    <row r="1" spans="1:9" ht="28.8" x14ac:dyDescent="0.55000000000000004">
      <c r="B1" s="86" t="s">
        <v>30</v>
      </c>
      <c r="C1" s="86"/>
      <c r="D1" s="86"/>
      <c r="E1" s="86"/>
      <c r="F1" s="86"/>
      <c r="G1" s="86"/>
      <c r="H1" s="86"/>
      <c r="I1" s="87"/>
    </row>
    <row r="2" spans="1:9" x14ac:dyDescent="0.3">
      <c r="B2" s="60"/>
      <c r="C2" s="88" t="s">
        <v>35</v>
      </c>
      <c r="D2" s="88"/>
      <c r="E2" s="88"/>
      <c r="F2" s="88"/>
      <c r="G2" s="88"/>
      <c r="H2" s="88"/>
      <c r="I2" s="61"/>
    </row>
    <row r="3" spans="1:9" x14ac:dyDescent="0.3">
      <c r="B3" s="60"/>
      <c r="C3" s="60"/>
      <c r="D3" s="60"/>
      <c r="E3" s="60"/>
      <c r="F3" s="60"/>
      <c r="G3" s="60"/>
      <c r="H3" s="60"/>
      <c r="I3" s="61"/>
    </row>
    <row r="4" spans="1:9" x14ac:dyDescent="0.3">
      <c r="B4" s="60"/>
      <c r="C4" s="62" t="s">
        <v>32</v>
      </c>
      <c r="D4" s="60" t="s">
        <v>33</v>
      </c>
      <c r="E4" s="75"/>
      <c r="F4" s="60"/>
      <c r="G4" s="60"/>
      <c r="H4" s="60"/>
      <c r="I4" s="61"/>
    </row>
    <row r="5" spans="1:9" x14ac:dyDescent="0.3">
      <c r="B5" s="60"/>
      <c r="C5" s="62" t="s">
        <v>34</v>
      </c>
      <c r="D5" s="63" t="s">
        <v>68</v>
      </c>
      <c r="E5" s="75"/>
      <c r="F5" s="60"/>
      <c r="G5" s="60"/>
      <c r="H5" s="60"/>
      <c r="I5" s="61"/>
    </row>
    <row r="6" spans="1:9" x14ac:dyDescent="0.3">
      <c r="B6" s="60"/>
      <c r="C6" s="60"/>
      <c r="D6" s="60"/>
      <c r="E6" s="60"/>
      <c r="F6" s="60"/>
      <c r="G6" s="60"/>
      <c r="H6" s="60"/>
      <c r="I6" s="61"/>
    </row>
    <row r="7" spans="1:9" ht="18.600000000000001" customHeight="1" x14ac:dyDescent="0.3">
      <c r="B7" s="64"/>
      <c r="C7" s="76"/>
      <c r="D7" s="76"/>
      <c r="E7" s="76"/>
      <c r="F7" s="76"/>
      <c r="G7" s="76"/>
      <c r="H7" s="76"/>
      <c r="I7" s="65"/>
    </row>
    <row r="8" spans="1:9" x14ac:dyDescent="0.3">
      <c r="A8" s="66"/>
      <c r="B8" s="56"/>
      <c r="C8" s="56"/>
      <c r="D8" s="56"/>
      <c r="E8" s="56"/>
      <c r="F8" s="56"/>
      <c r="G8" s="56"/>
      <c r="H8" s="56"/>
      <c r="I8" s="57"/>
    </row>
    <row r="9" spans="1:9" x14ac:dyDescent="0.3">
      <c r="A9" s="67" t="s">
        <v>37</v>
      </c>
      <c r="B9" s="56"/>
      <c r="C9" s="56"/>
      <c r="D9" s="56"/>
      <c r="E9" s="56"/>
      <c r="F9" s="56"/>
      <c r="G9" s="56"/>
      <c r="H9" s="56"/>
      <c r="I9" s="57"/>
    </row>
    <row r="10" spans="1:9" x14ac:dyDescent="0.3">
      <c r="A10" s="68"/>
      <c r="B10" s="56"/>
      <c r="C10" s="56"/>
      <c r="D10" s="56"/>
      <c r="E10" s="56"/>
      <c r="F10" s="56"/>
      <c r="G10" s="56"/>
      <c r="H10" s="56"/>
      <c r="I10" s="57"/>
    </row>
    <row r="11" spans="1:9" x14ac:dyDescent="0.3">
      <c r="A11" s="68" t="s">
        <v>36</v>
      </c>
      <c r="B11" s="56"/>
      <c r="C11" s="56"/>
      <c r="D11" s="56"/>
      <c r="E11" s="56"/>
      <c r="F11" s="56"/>
      <c r="G11" s="56"/>
      <c r="H11" s="56"/>
      <c r="I11" s="57"/>
    </row>
    <row r="12" spans="1:9" x14ac:dyDescent="0.3">
      <c r="A12" s="68"/>
      <c r="B12" s="56"/>
      <c r="C12" s="56"/>
      <c r="D12" s="56"/>
      <c r="E12" s="56"/>
      <c r="F12" s="56"/>
      <c r="G12" s="56"/>
      <c r="H12" s="56"/>
      <c r="I12" s="57"/>
    </row>
    <row r="13" spans="1:9" x14ac:dyDescent="0.3">
      <c r="A13" s="69"/>
      <c r="B13" s="58"/>
      <c r="C13" s="58"/>
      <c r="D13" s="58"/>
      <c r="E13" s="58"/>
      <c r="F13" s="58"/>
      <c r="G13" s="58"/>
      <c r="H13" s="58"/>
      <c r="I13" s="59"/>
    </row>
    <row r="14" spans="1:9" x14ac:dyDescent="0.3">
      <c r="A14" s="66"/>
      <c r="B14" s="70"/>
      <c r="C14" s="70"/>
      <c r="D14" s="70"/>
      <c r="E14" s="70"/>
      <c r="F14" s="70"/>
      <c r="G14" s="70"/>
      <c r="H14" s="70"/>
      <c r="I14" s="71"/>
    </row>
    <row r="15" spans="1:9" x14ac:dyDescent="0.3">
      <c r="A15" s="72" t="s">
        <v>38</v>
      </c>
      <c r="B15" s="56"/>
      <c r="C15" s="56"/>
      <c r="D15" s="56"/>
      <c r="E15" s="56"/>
      <c r="F15" s="56"/>
      <c r="G15" s="56"/>
      <c r="H15" s="56"/>
      <c r="I15" s="57"/>
    </row>
    <row r="16" spans="1:9" x14ac:dyDescent="0.3">
      <c r="A16" s="73" t="s">
        <v>42</v>
      </c>
      <c r="B16" s="85" t="s">
        <v>39</v>
      </c>
      <c r="C16" s="85"/>
      <c r="D16" s="85"/>
      <c r="E16" s="85"/>
      <c r="F16" s="56"/>
      <c r="G16" s="56"/>
      <c r="H16" s="56"/>
      <c r="I16" s="57"/>
    </row>
    <row r="17" spans="1:9" x14ac:dyDescent="0.3">
      <c r="A17" s="74"/>
      <c r="B17" s="56"/>
      <c r="C17" s="56"/>
      <c r="D17" s="56"/>
      <c r="E17" s="56"/>
      <c r="F17" s="56"/>
      <c r="G17" s="56"/>
      <c r="H17" s="56"/>
      <c r="I17" s="57"/>
    </row>
    <row r="18" spans="1:9" x14ac:dyDescent="0.3">
      <c r="A18" s="74" t="s">
        <v>43</v>
      </c>
      <c r="B18" s="85" t="s">
        <v>40</v>
      </c>
      <c r="C18" s="85"/>
      <c r="D18" s="85"/>
      <c r="E18" s="85"/>
      <c r="F18" s="56"/>
      <c r="G18" s="56"/>
      <c r="H18" s="56"/>
      <c r="I18" s="57"/>
    </row>
    <row r="19" spans="1:9" x14ac:dyDescent="0.3">
      <c r="A19" s="74" t="s">
        <v>44</v>
      </c>
      <c r="B19" s="85" t="s">
        <v>41</v>
      </c>
      <c r="C19" s="85"/>
      <c r="D19" s="85"/>
      <c r="E19" s="85"/>
      <c r="F19" s="56"/>
      <c r="G19" s="56"/>
      <c r="H19" s="56"/>
      <c r="I19" s="57"/>
    </row>
    <row r="20" spans="1:9" x14ac:dyDescent="0.3">
      <c r="A20" s="69"/>
      <c r="B20" s="58"/>
      <c r="C20" s="58"/>
      <c r="D20" s="58"/>
      <c r="E20" s="58"/>
      <c r="F20" s="58"/>
      <c r="G20" s="58"/>
      <c r="H20" s="58"/>
      <c r="I20" s="59"/>
    </row>
  </sheetData>
  <mergeCells count="5">
    <mergeCell ref="B19:E19"/>
    <mergeCell ref="B1:I1"/>
    <mergeCell ref="C2:H2"/>
    <mergeCell ref="B16:E16"/>
    <mergeCell ref="B18:E18"/>
  </mergeCells>
  <hyperlinks>
    <hyperlink ref="B16" r:id="rId1"/>
    <hyperlink ref="B18" r:id="rId2"/>
    <hyperlink ref="B19" r:id="rId3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T153"/>
  <sheetViews>
    <sheetView workbookViewId="0">
      <selection activeCell="B3" sqref="B3"/>
    </sheetView>
  </sheetViews>
  <sheetFormatPr defaultRowHeight="14.4" x14ac:dyDescent="0.3"/>
  <cols>
    <col min="1" max="1" width="30.44140625" customWidth="1"/>
    <col min="2" max="2" width="9" customWidth="1"/>
    <col min="3" max="3" width="10.109375" customWidth="1"/>
    <col min="4" max="4" width="11.6640625" customWidth="1"/>
    <col min="5" max="5" width="9.77734375" customWidth="1"/>
    <col min="6" max="6" width="10.88671875" customWidth="1"/>
    <col min="7" max="7" width="10.77734375" customWidth="1"/>
    <col min="8" max="8" width="9.77734375" customWidth="1"/>
    <col min="9" max="9" width="10.109375" customWidth="1"/>
    <col min="11" max="11" width="9.77734375" customWidth="1"/>
    <col min="14" max="14" width="10" bestFit="1" customWidth="1"/>
    <col min="15" max="15" width="11.109375" customWidth="1"/>
    <col min="16" max="16" width="10.44140625" customWidth="1"/>
    <col min="17" max="17" width="10.6640625" customWidth="1"/>
    <col min="18" max="18" width="2.6640625" customWidth="1"/>
  </cols>
  <sheetData>
    <row r="1" spans="1:20" ht="18" x14ac:dyDescent="0.35">
      <c r="A1" s="17" t="s">
        <v>2</v>
      </c>
    </row>
    <row r="2" spans="1:20" x14ac:dyDescent="0.3">
      <c r="A2" s="12" t="s">
        <v>0</v>
      </c>
      <c r="B2" s="9">
        <v>1</v>
      </c>
      <c r="C2" s="10">
        <v>2</v>
      </c>
      <c r="D2" s="10">
        <v>3</v>
      </c>
      <c r="E2" s="10">
        <v>4</v>
      </c>
      <c r="F2" s="10">
        <v>5</v>
      </c>
      <c r="G2" s="10">
        <v>6</v>
      </c>
      <c r="H2" s="10">
        <v>7</v>
      </c>
      <c r="I2" s="10">
        <v>8</v>
      </c>
      <c r="J2" s="10">
        <v>9</v>
      </c>
      <c r="K2" s="10">
        <v>10</v>
      </c>
      <c r="L2" s="10">
        <v>11</v>
      </c>
      <c r="M2" s="10">
        <v>12</v>
      </c>
      <c r="N2" s="10">
        <v>15</v>
      </c>
      <c r="O2" s="10">
        <v>20</v>
      </c>
      <c r="P2" s="10">
        <v>25</v>
      </c>
      <c r="Q2" s="10">
        <v>30</v>
      </c>
      <c r="R2" s="16"/>
    </row>
    <row r="3" spans="1:20" x14ac:dyDescent="0.3">
      <c r="A3" s="13" t="s">
        <v>1</v>
      </c>
      <c r="B3" s="2">
        <v>2.81E-3</v>
      </c>
      <c r="C3" s="2">
        <v>5.6600000000000001E-3</v>
      </c>
      <c r="D3" s="2">
        <v>1.01E-2</v>
      </c>
      <c r="E3" s="2">
        <v>1.439E-2</v>
      </c>
      <c r="F3" s="2">
        <v>1.8020000000000001E-2</v>
      </c>
      <c r="G3" s="2">
        <v>2.1080000000000002E-2</v>
      </c>
      <c r="H3" s="2">
        <v>2.3550000000000001E-2</v>
      </c>
      <c r="I3" s="2">
        <v>2.5510000000000001E-2</v>
      </c>
      <c r="J3" s="2">
        <v>2.7119999999999998E-2</v>
      </c>
      <c r="K3" s="2">
        <v>2.8479999999999998E-2</v>
      </c>
      <c r="L3" s="2">
        <v>2.9659999999999999E-2</v>
      </c>
      <c r="M3" s="2">
        <v>3.065E-2</v>
      </c>
      <c r="N3" s="2">
        <v>3.2770000000000001E-2</v>
      </c>
      <c r="O3" s="2">
        <v>3.4520000000000002E-2</v>
      </c>
      <c r="P3" s="2">
        <v>3.5270000000000003E-2</v>
      </c>
      <c r="Q3" s="2">
        <v>3.5610000000000003E-2</v>
      </c>
      <c r="R3" s="7"/>
      <c r="S3" s="2"/>
      <c r="T3" s="1"/>
    </row>
    <row r="4" spans="1:20" x14ac:dyDescent="0.3">
      <c r="A4" s="14" t="s">
        <v>66</v>
      </c>
      <c r="B4" s="97">
        <v>0.65700000000000003</v>
      </c>
      <c r="C4" s="97">
        <v>0.72299999999999998</v>
      </c>
      <c r="D4" s="97">
        <v>0.66300000000000003</v>
      </c>
      <c r="E4" s="97">
        <v>0.55249999999999999</v>
      </c>
      <c r="F4" s="97">
        <v>0.48199999999999998</v>
      </c>
      <c r="G4" s="97">
        <v>0.42299999999999999</v>
      </c>
      <c r="H4" s="97">
        <v>0.39350000000000002</v>
      </c>
      <c r="I4" s="97">
        <v>0.35749999999999998</v>
      </c>
      <c r="J4" s="97">
        <v>0.33750000000000002</v>
      </c>
      <c r="K4" s="97">
        <v>0.32550000000000001</v>
      </c>
      <c r="L4" s="98">
        <f>$K$4 + (($M$4-$K$4)/($M$2-$K$2))</f>
        <v>0.31074999999999997</v>
      </c>
      <c r="M4" s="97">
        <v>0.29599999999999999</v>
      </c>
      <c r="N4" s="97">
        <v>0.27650000000000002</v>
      </c>
      <c r="O4" s="97">
        <v>0.24399999999999999</v>
      </c>
      <c r="P4" s="97">
        <v>0.23449999999999999</v>
      </c>
      <c r="Q4" s="97">
        <v>0.22650000000000001</v>
      </c>
      <c r="R4" s="5"/>
    </row>
    <row r="5" spans="1:20" x14ac:dyDescent="0.3">
      <c r="A5" s="15" t="s">
        <v>13</v>
      </c>
      <c r="B5" s="44">
        <f>$E$36</f>
        <v>2.81E-3</v>
      </c>
      <c r="C5" s="24">
        <f>((C3*C2)-($B$3*$B$2))/(C2-$B$2)</f>
        <v>8.5100000000000002E-3</v>
      </c>
      <c r="D5" s="24">
        <f>((D3*D2)-($C$3*$C$2))/(D2-$C$2)</f>
        <v>1.898E-2</v>
      </c>
      <c r="E5" s="24">
        <f>((E3*E2)-($D$3*$D$2))/(E2-$D$2)</f>
        <v>2.726E-2</v>
      </c>
      <c r="F5" s="24">
        <f>((F3*F2)-($E$3*$E$2))/(F2-$E$2)</f>
        <v>3.2540000000000013E-2</v>
      </c>
      <c r="G5" s="24">
        <f>((G3*G2)-($F$3*$F$2))/(G2-$F$2)</f>
        <v>3.6379999999999996E-2</v>
      </c>
      <c r="H5" s="24">
        <f>((H3*H2)-($G$3*$G$2))/(H2-$G$2)</f>
        <v>3.8369999999999987E-2</v>
      </c>
      <c r="I5" s="24">
        <f>((I3*I2)-($H$3*$H$2))/(I2-$H$2)</f>
        <v>3.9230000000000015E-2</v>
      </c>
      <c r="J5" s="24">
        <f>((J3*J2)-($I$3*$I$2))/(J2-$I$2)</f>
        <v>3.999999999999998E-2</v>
      </c>
      <c r="K5" s="24">
        <f>((K3*K2)-($J$3*$J$2))/(K2-$J$2)</f>
        <v>4.0720000000000006E-2</v>
      </c>
      <c r="L5" s="24">
        <f>((L3*L2)-($K$3*$K$2))/(L2-$K$2)</f>
        <v>4.1459999999999997E-2</v>
      </c>
      <c r="M5" s="24">
        <f>((M3*M2)-($L$3*$L$2))/(M2-$L$2)</f>
        <v>4.1540000000000021E-2</v>
      </c>
      <c r="N5" s="24">
        <f>((N3*N2)-($M$3*$M$2))/(N2-$M$2)</f>
        <v>4.1249999999999988E-2</v>
      </c>
      <c r="O5" s="24">
        <f>((O3*O2)-($N$3*$N$2))/(O2-$N$2)</f>
        <v>3.9770000000000007E-2</v>
      </c>
      <c r="P5" s="24">
        <f>((P3*P2)-($O$3*$O$2))/(P2-$O$2)</f>
        <v>3.8270000000000005E-2</v>
      </c>
      <c r="Q5" s="25">
        <f>((Q3*Q2)-($P$3*$P$2))/(Q2-$P$2)</f>
        <v>3.7309999999999996E-2</v>
      </c>
      <c r="R5" s="6"/>
    </row>
    <row r="6" spans="1:20" x14ac:dyDescent="0.3">
      <c r="A6" s="15" t="s">
        <v>67</v>
      </c>
      <c r="B6" s="98">
        <f>$P$36</f>
        <v>0.65700000000000003</v>
      </c>
      <c r="C6" s="98">
        <f>$P$40</f>
        <v>0.53759492299399403</v>
      </c>
      <c r="D6" s="98">
        <f>$P$44</f>
        <v>0.41869341422924411</v>
      </c>
      <c r="E6" s="98">
        <f>$P$48</f>
        <v>0.27571394879047667</v>
      </c>
      <c r="F6" s="98">
        <f>$P$52</f>
        <v>0.25304826682559961</v>
      </c>
      <c r="G6" s="98">
        <f>$P$56</f>
        <v>0.19853589987242348</v>
      </c>
      <c r="H6" s="98">
        <f>$P$60</f>
        <v>0.24803772361779816</v>
      </c>
      <c r="I6" s="98">
        <f>$P$64</f>
        <v>0.19238577115941186</v>
      </c>
      <c r="J6" s="98">
        <f>$P$68</f>
        <v>0.21486157365087974</v>
      </c>
      <c r="K6" s="98">
        <f>$P$72</f>
        <v>0.22772837572780841</v>
      </c>
      <c r="L6" s="98">
        <f>$P$76</f>
        <v>0.18255203823086957</v>
      </c>
      <c r="M6" s="98">
        <f>$P$80</f>
        <v>0.18438082693575203</v>
      </c>
      <c r="N6" s="98">
        <f>$P$92</f>
        <v>0.21481458028107447</v>
      </c>
      <c r="O6" s="98">
        <f>$P$112</f>
        <v>0.17037033765880574</v>
      </c>
      <c r="P6" s="98">
        <f>$P$132</f>
        <v>0.23933404652988821</v>
      </c>
      <c r="Q6" s="98">
        <f>$P$152</f>
        <v>0.21723087864859619</v>
      </c>
      <c r="R6" s="26"/>
      <c r="S6" s="1"/>
      <c r="T6" s="1"/>
    </row>
    <row r="7" spans="1:20" x14ac:dyDescent="0.3">
      <c r="A7" s="42"/>
      <c r="C7" s="41"/>
    </row>
    <row r="31" spans="1:16" x14ac:dyDescent="0.3">
      <c r="A31" s="27" t="s">
        <v>14</v>
      </c>
    </row>
    <row r="32" spans="1:16" x14ac:dyDescent="0.3">
      <c r="B32" s="35" t="s">
        <v>15</v>
      </c>
      <c r="C32" s="35" t="s">
        <v>16</v>
      </c>
      <c r="D32" s="36" t="s">
        <v>28</v>
      </c>
      <c r="E32" s="37" t="s">
        <v>17</v>
      </c>
      <c r="F32" s="36" t="s">
        <v>23</v>
      </c>
      <c r="G32" s="36" t="s">
        <v>24</v>
      </c>
      <c r="H32" s="38" t="s">
        <v>22</v>
      </c>
      <c r="I32" s="39" t="s">
        <v>25</v>
      </c>
      <c r="J32" s="38" t="s">
        <v>18</v>
      </c>
      <c r="K32" s="40" t="s">
        <v>19</v>
      </c>
      <c r="L32" s="40" t="s">
        <v>20</v>
      </c>
      <c r="M32" s="40" t="s">
        <v>21</v>
      </c>
      <c r="N32" s="40" t="s">
        <v>27</v>
      </c>
      <c r="O32" s="40" t="s">
        <v>29</v>
      </c>
      <c r="P32" s="39" t="s">
        <v>26</v>
      </c>
    </row>
    <row r="33" spans="2:16" x14ac:dyDescent="0.3">
      <c r="B33" s="29">
        <v>0.25</v>
      </c>
      <c r="C33" s="29">
        <f>$C$36-(($B$36-$B33)*($C$40-$C$36)/($B$40-$B$36))</f>
        <v>0.60750000000000004</v>
      </c>
      <c r="D33" s="1">
        <f>$D$36-(($B$36-$B33)*($D$40-$D$36)/($B$40-$B$36))</f>
        <v>6.7249999999999992E-4</v>
      </c>
      <c r="E33" s="28">
        <f>$D$33</f>
        <v>6.7249999999999992E-4</v>
      </c>
      <c r="F33">
        <f>LN(1+(D33))</f>
        <v>6.7227397320474534E-4</v>
      </c>
      <c r="G33">
        <f>EXP(-F33*(B33))</f>
        <v>0.9998319456294168</v>
      </c>
      <c r="H33" s="34"/>
      <c r="I33" s="33"/>
      <c r="J33" s="33"/>
      <c r="K33" s="32"/>
      <c r="L33" s="32"/>
      <c r="M33" s="32"/>
      <c r="N33" s="32"/>
      <c r="O33" s="32"/>
      <c r="P33" s="43">
        <f>C36</f>
        <v>0.65700000000000003</v>
      </c>
    </row>
    <row r="34" spans="2:16" x14ac:dyDescent="0.3">
      <c r="B34" s="29">
        <v>0.5</v>
      </c>
      <c r="C34" s="29">
        <f>$C$36-(($B$36-$B34)*($C$40-$C$36)/($B$40-$B$36))</f>
        <v>0.62400000000000011</v>
      </c>
      <c r="D34" s="1">
        <f>$D$36-(($B$36-$B34)*($D$40-$D$36)/($B$40-$B$36))</f>
        <v>1.3849999999999999E-3</v>
      </c>
      <c r="E34" s="28">
        <f>$E$33+(($E$36-$E$33)/($B$36-$B$33))*($B34-$B$33)</f>
        <v>1.3849999999999999E-3</v>
      </c>
      <c r="F34">
        <f t="shared" ref="F34:F97" si="0">LN(1+(D34))</f>
        <v>1.3840417721616325E-3</v>
      </c>
      <c r="G34">
        <f t="shared" ref="G34:G97" si="1">EXP(-F34*(B34))</f>
        <v>0.99930821850514817</v>
      </c>
      <c r="H34" s="34"/>
      <c r="I34" s="34"/>
      <c r="J34" s="34"/>
      <c r="K34" s="32"/>
      <c r="L34" s="32"/>
      <c r="M34" s="32"/>
      <c r="N34" s="32"/>
      <c r="O34" s="32"/>
      <c r="P34" s="43">
        <f>C36</f>
        <v>0.65700000000000003</v>
      </c>
    </row>
    <row r="35" spans="2:16" x14ac:dyDescent="0.3">
      <c r="B35" s="29">
        <v>0.75</v>
      </c>
      <c r="C35" s="29">
        <f>$C$36-(($B$36-$B35)*($C$40-$C$36)/($B$40-$B$36))</f>
        <v>0.64050000000000007</v>
      </c>
      <c r="D35" s="1">
        <f>$D$36-(($B$36-$B35)*($D$40-$D$36)/($B$40-$B$36))</f>
        <v>2.0975E-3</v>
      </c>
      <c r="E35" s="28">
        <f>$E$33+(($E$36-$E$33)/($B$36-$B$33))*($B35-$B$33)</f>
        <v>2.0975E-3</v>
      </c>
      <c r="F35">
        <f t="shared" si="0"/>
        <v>2.0953033180323966E-3</v>
      </c>
      <c r="G35">
        <f t="shared" si="1"/>
        <v>0.99842975663567335</v>
      </c>
      <c r="H35" s="34"/>
      <c r="I35" s="34"/>
      <c r="J35" s="34"/>
      <c r="K35" s="32"/>
      <c r="L35" s="32"/>
      <c r="M35" s="32"/>
      <c r="N35" s="32"/>
      <c r="O35" s="32"/>
      <c r="P35" s="43">
        <f>C36</f>
        <v>0.65700000000000003</v>
      </c>
    </row>
    <row r="36" spans="2:16" x14ac:dyDescent="0.3">
      <c r="B36" s="47">
        <v>1</v>
      </c>
      <c r="C36" s="47">
        <f>$B$4-((1-$B36)*($C$4-$B$4)/($C$2-$B$2))</f>
        <v>0.65700000000000003</v>
      </c>
      <c r="D36" s="48">
        <f>$B$3</f>
        <v>2.81E-3</v>
      </c>
      <c r="E36" s="49">
        <f>$D$36</f>
        <v>2.81E-3</v>
      </c>
      <c r="F36" s="46">
        <f t="shared" si="0"/>
        <v>2.806059330461505E-3</v>
      </c>
      <c r="G36" s="46">
        <f t="shared" si="1"/>
        <v>0.99719787397413273</v>
      </c>
      <c r="H36" s="45">
        <f>calcCapValue($B$34:$B36, $E$34:$E36, $E36, C36, 0.25, $G$34:G36)</f>
        <v>2.519619884747648E-4</v>
      </c>
      <c r="I36" s="32"/>
      <c r="J36" s="34"/>
      <c r="K36" s="32"/>
      <c r="L36" s="32"/>
      <c r="M36" s="32"/>
      <c r="N36" s="32"/>
      <c r="O36" s="32"/>
      <c r="P36" s="45">
        <f>C36</f>
        <v>0.65700000000000003</v>
      </c>
    </row>
    <row r="37" spans="2:16" x14ac:dyDescent="0.3">
      <c r="B37" s="29">
        <v>1.25</v>
      </c>
      <c r="C37" s="29">
        <f>$C$36+((B37-$B$36)*(($C$40-$C$36)/($B$40-$B$36)))</f>
        <v>0.67349999999999999</v>
      </c>
      <c r="D37" s="1">
        <f>$D$36+((B37-$B$36)*(($D$40-$D$36)/($B$40-$B$36)))</f>
        <v>3.5225E-3</v>
      </c>
      <c r="E37" s="28">
        <f>$E$40-(($B$40-$B37)*($E$40-$E$36)/($B$40-$B$36))</f>
        <v>4.235E-3</v>
      </c>
      <c r="F37">
        <f t="shared" si="0"/>
        <v>3.516310527560925E-3</v>
      </c>
      <c r="G37">
        <f t="shared" si="1"/>
        <v>0.99561425742188547</v>
      </c>
      <c r="H37" s="43">
        <f>calcCapValue($B$33:$B37, $E$33:$E37, $E37, C37, 0.25, $G$33:G37)</f>
        <v>4.2702835322014913E-4</v>
      </c>
      <c r="I37">
        <f>H37-H36</f>
        <v>1.7506636474538432E-4</v>
      </c>
      <c r="J37" s="29">
        <f>((LOG(E37/(E37))+(N37^2)*(B37/2))/((N37^2)*SQRT(B37-0.25)))</f>
        <v>0.625</v>
      </c>
      <c r="K37">
        <f>((LOG(E37/(E37))-(N37^2)*(B37/2))/((N37^2)*SQRT(B37-0.25)))</f>
        <v>-0.625</v>
      </c>
      <c r="L37">
        <f>_xlfn.NORM.DIST(J37,0,1,TRUE)</f>
        <v>0.73401447095129946</v>
      </c>
      <c r="M37">
        <f>_xlfn.NORM.DIST(K37,0,1,TRUE)</f>
        <v>0.26598552904870049</v>
      </c>
      <c r="N37">
        <f>ImplyCapletVolatility(B37, E37, E37, 0.25, G37, I37, C37)</f>
        <v>0.37508199939430398</v>
      </c>
      <c r="O37">
        <f>($I37-(G37*0.25*100*(E37*L37-(E37)*M37)))^2</f>
        <v>2.4167226161170663E-3</v>
      </c>
      <c r="P37" s="31">
        <f>$N37</f>
        <v>0.37508199939430398</v>
      </c>
    </row>
    <row r="38" spans="2:16" x14ac:dyDescent="0.3">
      <c r="B38" s="29">
        <v>1.5</v>
      </c>
      <c r="C38" s="29">
        <f>$C$36+((B38-$B$36)*(($C$40-$C$36)/($B$40-$B$36)))</f>
        <v>0.69</v>
      </c>
      <c r="D38" s="1">
        <f>$D$36+((B38-$B$36)*(($D$40-$D$36)/($B$40-$B$36)))</f>
        <v>4.235E-3</v>
      </c>
      <c r="E38" s="28">
        <f>$E$40-(($B$40-$B38)*($E$40-$E$36)/($B$40-$B$36))</f>
        <v>5.6600000000000001E-3</v>
      </c>
      <c r="F38">
        <f t="shared" si="0"/>
        <v>4.2260576259127046E-3</v>
      </c>
      <c r="G38">
        <f t="shared" si="1"/>
        <v>0.99368096318177423</v>
      </c>
      <c r="H38" s="43">
        <f>calcCapValue($B$33:$B38, $E$33:$E38, $E38, C38, 0.25, $G$33:G38)</f>
        <v>7.4078743246199918E-4</v>
      </c>
      <c r="I38">
        <f t="shared" ref="I38:I101" si="2">H38-H37</f>
        <v>3.1375907924185005E-4</v>
      </c>
      <c r="J38" s="29">
        <f t="shared" ref="J38:J68" si="3">((LOG(E38/(E38))+(N38^2)*(B38/2))/((N38^2)*SQRT(B38-0.25)))</f>
        <v>0.67082039324993681</v>
      </c>
      <c r="K38">
        <f t="shared" ref="K38:K68" si="4">((LOG(E38/(E38))-(N38^2)*(B38/2))/((N38^2)*SQRT(B38-0.25)))</f>
        <v>-0.67082039324993681</v>
      </c>
      <c r="L38">
        <f t="shared" ref="L38:L101" si="5">_xlfn.NORM.DIST(J38,0,1,TRUE)</f>
        <v>0.74883252281974899</v>
      </c>
      <c r="M38">
        <f t="shared" ref="M38:M101" si="6">_xlfn.NORM.DIST(K38,0,1,TRUE)</f>
        <v>0.25116747718025101</v>
      </c>
      <c r="N38">
        <f t="shared" ref="N38:N101" si="7">ImplyCapletVolatility(B38, E38, E38, 0.25, G38, I38, C38)</f>
        <v>0.46282926181591927</v>
      </c>
      <c r="O38">
        <f t="shared" ref="O38:O68" si="8">($I38-(G38*0.25*100*(E38*L38-(E38)*M38)))^2</f>
        <v>4.8526355285967732E-3</v>
      </c>
      <c r="P38" s="31">
        <f t="shared" ref="P38:P101" si="9">$N38</f>
        <v>0.46282926181591927</v>
      </c>
    </row>
    <row r="39" spans="2:16" x14ac:dyDescent="0.3">
      <c r="B39" s="29">
        <v>1.75</v>
      </c>
      <c r="C39" s="29">
        <f>$C$36+((B39-$B$36)*(($C$40-$C$36)/($B$40-$B$36)))</f>
        <v>0.70650000000000002</v>
      </c>
      <c r="D39" s="1">
        <f>$D$36+((B39-$B$36)*(($D$40-$D$36)/($B$40-$B$36)))</f>
        <v>4.9475000000000005E-3</v>
      </c>
      <c r="E39" s="28">
        <f>$E$40-(($B$40-$B39)*($E$40-$E$36)/($B$40-$B$36))</f>
        <v>7.0850000000000002E-3</v>
      </c>
      <c r="F39">
        <f t="shared" si="0"/>
        <v>4.9353013405750842E-3</v>
      </c>
      <c r="G39">
        <f t="shared" si="1"/>
        <v>0.99140041247171584</v>
      </c>
      <c r="H39" s="43">
        <f>calcCapValue($B$33:$B39, $E$33:$E39, $E39, C39, 0.25, $G$33:G39)</f>
        <v>1.1996801442713868E-3</v>
      </c>
      <c r="I39">
        <f t="shared" si="2"/>
        <v>4.5889271180938761E-4</v>
      </c>
      <c r="J39" s="29">
        <f t="shared" si="3"/>
        <v>0.71443450831176036</v>
      </c>
      <c r="K39">
        <f t="shared" si="4"/>
        <v>-0.71443450831176036</v>
      </c>
      <c r="L39">
        <f t="shared" si="5"/>
        <v>0.76252073005524668</v>
      </c>
      <c r="M39">
        <f t="shared" si="6"/>
        <v>0.23747926994475335</v>
      </c>
      <c r="N39">
        <f t="shared" si="7"/>
        <v>0.50437041982271169</v>
      </c>
      <c r="O39">
        <f t="shared" si="8"/>
        <v>8.4161049879446399E-3</v>
      </c>
      <c r="P39" s="31">
        <f t="shared" si="9"/>
        <v>0.50437041982271169</v>
      </c>
    </row>
    <row r="40" spans="2:16" x14ac:dyDescent="0.3">
      <c r="B40" s="51">
        <v>2</v>
      </c>
      <c r="C40" s="51">
        <f>$C$4</f>
        <v>0.72299999999999998</v>
      </c>
      <c r="D40" s="52">
        <f>$C$3</f>
        <v>5.6600000000000001E-3</v>
      </c>
      <c r="E40" s="53">
        <f>$C$5</f>
        <v>8.5100000000000002E-3</v>
      </c>
      <c r="F40" s="50">
        <f t="shared" si="0"/>
        <v>5.6440423850850439E-3</v>
      </c>
      <c r="G40" s="50">
        <f t="shared" si="1"/>
        <v>0.98877538661079056</v>
      </c>
      <c r="H40" s="45">
        <f>calcCapValue($B$33:$B40, $E$33:$E40, $E40, C40, 0.25, $G$33:G40)</f>
        <v>1.8226800917617411E-3</v>
      </c>
      <c r="I40" s="50">
        <f t="shared" si="2"/>
        <v>6.2299994749035435E-4</v>
      </c>
      <c r="J40" s="51">
        <f t="shared" si="3"/>
        <v>0.75592894601845451</v>
      </c>
      <c r="K40" s="50">
        <f t="shared" si="4"/>
        <v>-0.75592894601845451</v>
      </c>
      <c r="L40" s="50">
        <f t="shared" si="5"/>
        <v>0.7751541010155546</v>
      </c>
      <c r="M40" s="50">
        <f t="shared" si="6"/>
        <v>0.22484589898444543</v>
      </c>
      <c r="N40" s="46">
        <f t="shared" si="7"/>
        <v>0.53759492299399403</v>
      </c>
      <c r="O40" s="50">
        <f t="shared" si="8"/>
        <v>1.3257430068171419E-2</v>
      </c>
      <c r="P40" s="31">
        <f t="shared" si="9"/>
        <v>0.53759492299399403</v>
      </c>
    </row>
    <row r="41" spans="2:16" x14ac:dyDescent="0.3">
      <c r="B41" s="29">
        <v>2.25</v>
      </c>
      <c r="C41" s="29">
        <f>$C$40+((B41-$B$40)*(($C$44-$C$40)/($B$44-$B$40)))</f>
        <v>0.70799999999999996</v>
      </c>
      <c r="D41" s="1">
        <f>$D$40+((B41-$B$40)*(($D$44-$D$40)/($B$44-$B$40)))</f>
        <v>6.77E-3</v>
      </c>
      <c r="E41" s="28">
        <f>E$40+(($B41-$B$40)*(($E$44-$E$40)/($B$44-$B$40)))</f>
        <v>1.11275E-2</v>
      </c>
      <c r="F41">
        <f t="shared" si="0"/>
        <v>6.7471864572422619E-3</v>
      </c>
      <c r="G41">
        <f t="shared" si="1"/>
        <v>0.98493348350304621</v>
      </c>
      <c r="H41" s="43">
        <f>calcCapValue($B$33:$B41, $E$33:$E41, $E41, C41, 0.25, $G$33:G41)</f>
        <v>2.4232621191706038E-3</v>
      </c>
      <c r="I41">
        <f t="shared" si="2"/>
        <v>6.0058202740886262E-4</v>
      </c>
      <c r="J41" s="29">
        <f t="shared" si="3"/>
        <v>0.79549512883486595</v>
      </c>
      <c r="K41">
        <f t="shared" si="4"/>
        <v>-0.79549512883486595</v>
      </c>
      <c r="L41">
        <f t="shared" si="5"/>
        <v>0.78683722830779601</v>
      </c>
      <c r="M41">
        <f t="shared" si="6"/>
        <v>0.21316277169220404</v>
      </c>
      <c r="N41">
        <f t="shared" si="7"/>
        <v>0.37102459420313655</v>
      </c>
      <c r="O41">
        <f t="shared" si="8"/>
        <v>2.4518558333110774E-2</v>
      </c>
      <c r="P41" s="31">
        <f t="shared" si="9"/>
        <v>0.37102459420313655</v>
      </c>
    </row>
    <row r="42" spans="2:16" x14ac:dyDescent="0.3">
      <c r="B42" s="29">
        <v>2.5</v>
      </c>
      <c r="C42" s="29">
        <f>$C$40+((B42-$B$40)*(($C$44-$C$40)/($B$44-$B$40)))</f>
        <v>0.69300000000000006</v>
      </c>
      <c r="D42" s="1">
        <f>$D$40+((B42-$B$40)*(($D$44-$D$40)/($B$44-$B$40)))</f>
        <v>7.8799999999999999E-3</v>
      </c>
      <c r="E42" s="28">
        <f>E$40+(($B42-$B$40)*(($E$44-$E$40)/($B$44-$B$40)))</f>
        <v>1.3745E-2</v>
      </c>
      <c r="F42">
        <f t="shared" si="0"/>
        <v>7.8491149433991183E-3</v>
      </c>
      <c r="G42">
        <f t="shared" si="1"/>
        <v>0.98056848638220884</v>
      </c>
      <c r="H42" s="43">
        <f>calcCapValue($B$33:$B42, $E$33:$E42, $E42, C42, 0.25, $G$33:G42)</f>
        <v>3.2814851297457998E-3</v>
      </c>
      <c r="I42">
        <f t="shared" si="2"/>
        <v>8.5822301057519607E-4</v>
      </c>
      <c r="J42" s="29">
        <f t="shared" si="3"/>
        <v>0.83333333333333348</v>
      </c>
      <c r="K42">
        <f t="shared" si="4"/>
        <v>-0.83333333333333348</v>
      </c>
      <c r="L42">
        <f t="shared" si="5"/>
        <v>0.79767161903635708</v>
      </c>
      <c r="M42">
        <f t="shared" si="6"/>
        <v>0.20232838096364295</v>
      </c>
      <c r="N42">
        <f t="shared" si="7"/>
        <v>0.41090592020129063</v>
      </c>
      <c r="O42">
        <f t="shared" si="8"/>
        <v>3.9896626381766491E-2</v>
      </c>
      <c r="P42" s="31">
        <f t="shared" si="9"/>
        <v>0.41090592020129063</v>
      </c>
    </row>
    <row r="43" spans="2:16" x14ac:dyDescent="0.3">
      <c r="B43" s="29">
        <v>2.75</v>
      </c>
      <c r="C43" s="29">
        <f>$C$40+((B43-$B$40)*(($C$44-$C$40)/($B$44-$B$40)))</f>
        <v>0.67800000000000005</v>
      </c>
      <c r="D43" s="1">
        <f>$D$40+((B43-$B$40)*(($D$44-$D$40)/($B$44-$B$40)))</f>
        <v>8.9899999999999997E-3</v>
      </c>
      <c r="E43" s="28">
        <f>E$40+(($B43-$B$40)*(($E$44-$E$40)/($B$44-$B$40)))</f>
        <v>1.6362500000000002E-2</v>
      </c>
      <c r="F43">
        <f t="shared" si="0"/>
        <v>8.9498305195846017E-3</v>
      </c>
      <c r="G43">
        <f t="shared" si="1"/>
        <v>0.9756883725932306</v>
      </c>
      <c r="H43" s="43">
        <f>calcCapValue($B$33:$B43, $E$33:$E43, $E43, C43, 0.25, $G$33:G43)</f>
        <v>4.371267306319657E-3</v>
      </c>
      <c r="I43">
        <f t="shared" si="2"/>
        <v>1.0897821765738572E-3</v>
      </c>
      <c r="J43" s="29">
        <f t="shared" si="3"/>
        <v>0.86962635654630427</v>
      </c>
      <c r="K43">
        <f t="shared" si="4"/>
        <v>-0.86962635654630427</v>
      </c>
      <c r="L43">
        <f t="shared" si="5"/>
        <v>0.80774768530986529</v>
      </c>
      <c r="M43">
        <f t="shared" si="6"/>
        <v>0.19225231469013471</v>
      </c>
      <c r="N43">
        <f t="shared" si="7"/>
        <v>0.4211305398023259</v>
      </c>
      <c r="O43">
        <f t="shared" si="8"/>
        <v>5.981214034834044E-2</v>
      </c>
      <c r="P43" s="31">
        <f t="shared" si="9"/>
        <v>0.4211305398023259</v>
      </c>
    </row>
    <row r="44" spans="2:16" x14ac:dyDescent="0.3">
      <c r="B44" s="51">
        <v>3</v>
      </c>
      <c r="C44" s="51">
        <f>$D$4</f>
        <v>0.66300000000000003</v>
      </c>
      <c r="D44" s="52">
        <f>$D$3</f>
        <v>1.01E-2</v>
      </c>
      <c r="E44" s="53">
        <f>$D$5</f>
        <v>1.898E-2</v>
      </c>
      <c r="F44" s="50">
        <f t="shared" si="0"/>
        <v>1.0049335853001438E-2</v>
      </c>
      <c r="G44" s="50">
        <f t="shared" si="1"/>
        <v>0.97030191090282181</v>
      </c>
      <c r="H44" s="45">
        <f>calcCapValue($B$33:$B44, $E$33:$E44, $E44, C44, 0.25, $G$33:G44)</f>
        <v>5.6746624441932399E-3</v>
      </c>
      <c r="I44" s="50">
        <f t="shared" si="2"/>
        <v>1.3033951378735829E-3</v>
      </c>
      <c r="J44" s="51">
        <f t="shared" si="3"/>
        <v>0.904534033733291</v>
      </c>
      <c r="K44" s="50">
        <f t="shared" si="4"/>
        <v>-0.904534033733291</v>
      </c>
      <c r="L44" s="50">
        <f t="shared" si="5"/>
        <v>0.81714385185924343</v>
      </c>
      <c r="M44" s="50">
        <f t="shared" si="6"/>
        <v>0.18285614814075657</v>
      </c>
      <c r="N44" s="46">
        <f t="shared" si="7"/>
        <v>0.41869341422924411</v>
      </c>
      <c r="O44" s="50">
        <f t="shared" si="8"/>
        <v>8.4522712299060471E-2</v>
      </c>
      <c r="P44" s="31">
        <f t="shared" si="9"/>
        <v>0.41869341422924411</v>
      </c>
    </row>
    <row r="45" spans="2:16" x14ac:dyDescent="0.3">
      <c r="B45" s="29">
        <v>3.25</v>
      </c>
      <c r="C45" s="29">
        <f>$C$44+((B45-$B$44)*(($C$48-$C$44)/($B$48-$B$44)))</f>
        <v>0.63537500000000002</v>
      </c>
      <c r="D45" s="1">
        <f>$D$44+((B45-$B$44)*(($D$48-$D$44)/($B$48-$B$44)))</f>
        <v>1.11725E-2</v>
      </c>
      <c r="E45" s="28">
        <f>$E$44+(($B45-$B$44)*(($E$48-$E$44)/($B$48-$B$44)))</f>
        <v>2.1049999999999999E-2</v>
      </c>
      <c r="F45">
        <f t="shared" si="0"/>
        <v>1.1110548629261642E-2</v>
      </c>
      <c r="G45">
        <f t="shared" si="1"/>
        <v>0.96453488041446023</v>
      </c>
      <c r="H45" s="43">
        <f>calcCapValue($B$33:$B45, $E$33:$E45, $E45, C45, 0.25, $G$33:G45)</f>
        <v>7.059661546535978E-3</v>
      </c>
      <c r="I45">
        <f t="shared" si="2"/>
        <v>1.3849991023427381E-3</v>
      </c>
      <c r="J45" s="29">
        <f t="shared" si="3"/>
        <v>0.93819418743314187</v>
      </c>
      <c r="K45">
        <f t="shared" si="4"/>
        <v>-0.93819418743314187</v>
      </c>
      <c r="L45">
        <f t="shared" si="5"/>
        <v>0.82592768752346901</v>
      </c>
      <c r="M45">
        <f t="shared" si="6"/>
        <v>0.17407231247653099</v>
      </c>
      <c r="N45">
        <f t="shared" si="7"/>
        <v>0.38710562537098259</v>
      </c>
      <c r="O45">
        <f t="shared" si="8"/>
        <v>0.10856232680310618</v>
      </c>
      <c r="P45" s="31">
        <f t="shared" si="9"/>
        <v>0.38710562537098259</v>
      </c>
    </row>
    <row r="46" spans="2:16" x14ac:dyDescent="0.3">
      <c r="B46" s="29">
        <v>3.5</v>
      </c>
      <c r="C46" s="29">
        <f>$C$44+((B46-$B$44)*(($C$48-$C$44)/($B$48-$B$44)))</f>
        <v>0.60775000000000001</v>
      </c>
      <c r="D46" s="1">
        <f>$D$44+((B46-$B$44)*(($D$48-$D$44)/($B$48-$B$44)))</f>
        <v>1.2244999999999999E-2</v>
      </c>
      <c r="E46" s="28">
        <f>$E$44+(($B46-$B$44)*(($E$48-$E$44)/($B$48-$B$44)))</f>
        <v>2.3120000000000002E-2</v>
      </c>
      <c r="F46">
        <f t="shared" si="0"/>
        <v>1.2170636426701782E-2</v>
      </c>
      <c r="G46">
        <f t="shared" si="1"/>
        <v>0.95829728814800663</v>
      </c>
      <c r="H46" s="43">
        <f>calcCapValue($B$33:$B46, $E$33:$E46, $E46, C46, 0.25, $G$33:G46)</f>
        <v>8.4783496961719669E-3</v>
      </c>
      <c r="I46">
        <f t="shared" si="2"/>
        <v>1.4186881496359889E-3</v>
      </c>
      <c r="J46" s="29">
        <f t="shared" si="3"/>
        <v>0.97072534339415095</v>
      </c>
      <c r="K46">
        <f t="shared" si="4"/>
        <v>-0.97072534339415095</v>
      </c>
      <c r="L46">
        <f t="shared" si="5"/>
        <v>0.8341574659715687</v>
      </c>
      <c r="M46">
        <f t="shared" si="6"/>
        <v>0.16584253402843127</v>
      </c>
      <c r="N46">
        <f t="shared" si="7"/>
        <v>0.34929089608659319</v>
      </c>
      <c r="O46">
        <f t="shared" si="8"/>
        <v>0.13598258608638095</v>
      </c>
      <c r="P46" s="31">
        <f t="shared" si="9"/>
        <v>0.34929089608659319</v>
      </c>
    </row>
    <row r="47" spans="2:16" x14ac:dyDescent="0.3">
      <c r="B47" s="29">
        <v>3.75</v>
      </c>
      <c r="C47" s="29">
        <f>$C$44+((B47-$B$44)*(($C$48-$C$44)/($B$48-$B$44)))</f>
        <v>0.580125</v>
      </c>
      <c r="D47" s="1">
        <f>$D$44+((B47-$B$44)*(($D$48-$D$44)/($B$48-$B$44)))</f>
        <v>1.3317499999999999E-2</v>
      </c>
      <c r="E47" s="28">
        <f>$E$44+(($B47-$B$44)*(($E$48-$E$44)/($B$48-$B$44)))</f>
        <v>2.5190000000000001E-2</v>
      </c>
      <c r="F47">
        <f t="shared" si="0"/>
        <v>1.3229601627949146E-2</v>
      </c>
      <c r="G47">
        <f t="shared" si="1"/>
        <v>0.95159951891733818</v>
      </c>
      <c r="H47" s="43">
        <f>calcCapValue($B$33:$B47, $E$33:$E47, $E47, C47, 0.25, $G$33:G47)</f>
        <v>9.902094096630211E-3</v>
      </c>
      <c r="I47">
        <f t="shared" si="2"/>
        <v>1.423744400458244E-3</v>
      </c>
      <c r="J47" s="29">
        <f t="shared" si="3"/>
        <v>1.0022296571715914</v>
      </c>
      <c r="K47">
        <f t="shared" si="4"/>
        <v>-1.0022296571715914</v>
      </c>
      <c r="L47">
        <f t="shared" si="5"/>
        <v>0.84188365636714657</v>
      </c>
      <c r="M47">
        <f t="shared" si="6"/>
        <v>0.15811634363285343</v>
      </c>
      <c r="N47">
        <f t="shared" si="7"/>
        <v>0.31221868335209646</v>
      </c>
      <c r="O47">
        <f t="shared" si="8"/>
        <v>0.16673939493564832</v>
      </c>
      <c r="P47" s="31">
        <f t="shared" si="9"/>
        <v>0.31221868335209646</v>
      </c>
    </row>
    <row r="48" spans="2:16" x14ac:dyDescent="0.3">
      <c r="B48" s="47">
        <v>4</v>
      </c>
      <c r="C48" s="47">
        <f>$E$4</f>
        <v>0.55249999999999999</v>
      </c>
      <c r="D48" s="48">
        <f>$E$3</f>
        <v>1.439E-2</v>
      </c>
      <c r="E48" s="49">
        <f>$E$5</f>
        <v>2.726E-2</v>
      </c>
      <c r="F48" s="46">
        <f t="shared" si="0"/>
        <v>1.4287446608069455E-2</v>
      </c>
      <c r="G48" s="46">
        <f t="shared" si="1"/>
        <v>0.94445259258683767</v>
      </c>
      <c r="H48" s="45">
        <f>calcCapValue($B$33:$B48, $E$33:$E48, $E48, C48, 0.25, $G$33:G48)</f>
        <v>1.1300296375162264E-2</v>
      </c>
      <c r="I48" s="46">
        <f t="shared" si="2"/>
        <v>1.3982022785320528E-3</v>
      </c>
      <c r="J48" s="47">
        <f t="shared" si="3"/>
        <v>1.0327955589886444</v>
      </c>
      <c r="K48" s="46">
        <f t="shared" si="4"/>
        <v>-1.0327955589886444</v>
      </c>
      <c r="L48" s="46">
        <f t="shared" si="5"/>
        <v>0.84915020876082603</v>
      </c>
      <c r="M48" s="46">
        <f t="shared" si="6"/>
        <v>0.150849791239174</v>
      </c>
      <c r="N48" s="46">
        <f t="shared" si="7"/>
        <v>0.27571394879047667</v>
      </c>
      <c r="O48" s="46">
        <f t="shared" si="8"/>
        <v>0.2007568497372976</v>
      </c>
      <c r="P48" s="31">
        <f t="shared" si="9"/>
        <v>0.27571394879047667</v>
      </c>
    </row>
    <row r="49" spans="2:16" x14ac:dyDescent="0.3">
      <c r="B49" s="29">
        <v>4.25</v>
      </c>
      <c r="C49" s="29">
        <f>$C$48+((B49-$B$48)*(($C$52-$C$48)/($B$52-$B$48)))</f>
        <v>0.53487499999999999</v>
      </c>
      <c r="D49" s="1">
        <f>$D$48+((B49-$B$48)*(($D$52-$D$48)/($B$52-$B$48)))</f>
        <v>1.52975E-2</v>
      </c>
      <c r="E49" s="28">
        <f>$E$48+((B49-$B$48)*(($E$52-$E$48)/($B$52-$B$48)))</f>
        <v>2.8580000000000001E-2</v>
      </c>
      <c r="F49">
        <f t="shared" si="0"/>
        <v>1.5181672995602411E-2</v>
      </c>
      <c r="G49">
        <f t="shared" si="1"/>
        <v>0.9375153853508631</v>
      </c>
      <c r="H49" s="43">
        <f>calcCapValue($B$33:$B49, $E$33:$E49, $E49, C49, 0.25, $G$33:G49)</f>
        <v>1.3146948662207654E-2</v>
      </c>
      <c r="I49">
        <f t="shared" si="2"/>
        <v>1.8466522870453899E-3</v>
      </c>
      <c r="J49" s="29">
        <f t="shared" si="3"/>
        <v>1.0625</v>
      </c>
      <c r="K49">
        <f t="shared" si="4"/>
        <v>-1.0625</v>
      </c>
      <c r="L49">
        <f t="shared" si="5"/>
        <v>0.85599562099802906</v>
      </c>
      <c r="M49">
        <f t="shared" si="6"/>
        <v>0.14400437900197094</v>
      </c>
      <c r="N49">
        <f t="shared" si="7"/>
        <v>0.342160203256343</v>
      </c>
      <c r="O49">
        <f t="shared" si="8"/>
        <v>0.22570486218447416</v>
      </c>
      <c r="P49" s="31">
        <f t="shared" si="9"/>
        <v>0.342160203256343</v>
      </c>
    </row>
    <row r="50" spans="2:16" x14ac:dyDescent="0.3">
      <c r="B50" s="29">
        <v>4.5</v>
      </c>
      <c r="C50" s="29">
        <f>$C$48+((B50-$B$48)*(($C$52-$C$48)/($B$52-$B$48)))</f>
        <v>0.51724999999999999</v>
      </c>
      <c r="D50" s="1">
        <f>$D$48+((B50-$B$48)*(($D$52-$D$48)/($B$52-$B$48)))</f>
        <v>1.6205000000000001E-2</v>
      </c>
      <c r="E50" s="28">
        <f>$E$48+((B50-$B$48)*(($E$52-$E$48)/($B$52-$B$48)))</f>
        <v>2.9900000000000006E-2</v>
      </c>
      <c r="F50">
        <f t="shared" si="0"/>
        <v>1.6075100456671144E-2</v>
      </c>
      <c r="G50">
        <f t="shared" si="1"/>
        <v>0.93021647411542829</v>
      </c>
      <c r="H50" s="43">
        <f>calcCapValue($B$33:$B50, $E$33:$E50, $E50, C50, 0.25, $G$33:G50)</f>
        <v>1.4946557961484981E-2</v>
      </c>
      <c r="I50">
        <f t="shared" si="2"/>
        <v>1.7996092992773275E-3</v>
      </c>
      <c r="J50" s="29">
        <f t="shared" si="3"/>
        <v>1.0914103126634984</v>
      </c>
      <c r="K50">
        <f t="shared" si="4"/>
        <v>-1.0914103126634984</v>
      </c>
      <c r="L50">
        <f t="shared" si="5"/>
        <v>0.86245381168205448</v>
      </c>
      <c r="M50">
        <f t="shared" si="6"/>
        <v>0.13754618831794552</v>
      </c>
      <c r="N50">
        <f t="shared" si="7"/>
        <v>0.31139060001046115</v>
      </c>
      <c r="O50">
        <f t="shared" si="8"/>
        <v>0.25226043486172772</v>
      </c>
      <c r="P50" s="31">
        <f t="shared" si="9"/>
        <v>0.31139060001046115</v>
      </c>
    </row>
    <row r="51" spans="2:16" x14ac:dyDescent="0.3">
      <c r="B51" s="29">
        <v>4.75</v>
      </c>
      <c r="C51" s="29">
        <f>$C$48+((B51-$B$48)*(($C$52-$C$48)/($B$52-$B$48)))</f>
        <v>0.49962499999999999</v>
      </c>
      <c r="D51" s="1">
        <f>$D$48+((B51-$B$48)*(($D$52-$D$48)/($B$52-$B$48)))</f>
        <v>1.7112500000000003E-2</v>
      </c>
      <c r="E51" s="28">
        <f>$E$48+((B51-$B$48)*(($E$52-$E$48)/($B$52-$B$48)))</f>
        <v>3.1220000000000012E-2</v>
      </c>
      <c r="F51">
        <f t="shared" si="0"/>
        <v>1.6967730417567235E-2</v>
      </c>
      <c r="G51">
        <f t="shared" si="1"/>
        <v>0.92256566919350613</v>
      </c>
      <c r="H51" s="43">
        <f>calcCapValue($B$33:$B51, $E$33:$E51, $E51, C51, 0.25, $G$33:G51)</f>
        <v>1.6683219965724621E-2</v>
      </c>
      <c r="I51">
        <f t="shared" si="2"/>
        <v>1.7366620042396398E-3</v>
      </c>
      <c r="J51" s="29">
        <f t="shared" si="3"/>
        <v>1.1195857368787003</v>
      </c>
      <c r="K51">
        <f t="shared" si="4"/>
        <v>-1.1195857368787003</v>
      </c>
      <c r="L51">
        <f t="shared" si="5"/>
        <v>0.86855483179007631</v>
      </c>
      <c r="M51">
        <f t="shared" si="6"/>
        <v>0.13144516820992369</v>
      </c>
      <c r="N51">
        <f t="shared" si="7"/>
        <v>0.28175341929562486</v>
      </c>
      <c r="O51">
        <f t="shared" si="8"/>
        <v>0.27987101485726912</v>
      </c>
      <c r="P51" s="31">
        <f t="shared" si="9"/>
        <v>0.28175341929562486</v>
      </c>
    </row>
    <row r="52" spans="2:16" x14ac:dyDescent="0.3">
      <c r="B52" s="47">
        <v>5</v>
      </c>
      <c r="C52" s="47">
        <f>$F$4</f>
        <v>0.48199999999999998</v>
      </c>
      <c r="D52" s="48">
        <f>$F$3</f>
        <v>1.8020000000000001E-2</v>
      </c>
      <c r="E52" s="49">
        <f>$F$5</f>
        <v>3.2540000000000013E-2</v>
      </c>
      <c r="F52" s="46">
        <f t="shared" si="0"/>
        <v>1.7859564300766014E-2</v>
      </c>
      <c r="G52" s="46">
        <f t="shared" si="1"/>
        <v>0.91457315345825574</v>
      </c>
      <c r="H52" s="45">
        <f>calcCapValue($B$33:$B52, $E$33:$E52, $E52, C52, 0.25, $G$33:G52)</f>
        <v>1.834055917229175E-2</v>
      </c>
      <c r="I52" s="46">
        <f t="shared" si="2"/>
        <v>1.6573392065671287E-3</v>
      </c>
      <c r="J52" s="47">
        <f t="shared" si="3"/>
        <v>1.1470786693528088</v>
      </c>
      <c r="K52" s="46">
        <f t="shared" si="4"/>
        <v>-1.1470786693528088</v>
      </c>
      <c r="L52" s="46">
        <f t="shared" si="5"/>
        <v>0.87432544559488867</v>
      </c>
      <c r="M52" s="46">
        <f t="shared" si="6"/>
        <v>0.12567455440511133</v>
      </c>
      <c r="N52" s="46">
        <f t="shared" si="7"/>
        <v>0.25304826682559961</v>
      </c>
      <c r="O52" s="46">
        <f t="shared" si="8"/>
        <v>0.30840569436943849</v>
      </c>
      <c r="P52" s="31">
        <f t="shared" si="9"/>
        <v>0.25304826682559961</v>
      </c>
    </row>
    <row r="53" spans="2:16" x14ac:dyDescent="0.3">
      <c r="B53" s="29">
        <v>5.25</v>
      </c>
      <c r="C53" s="29">
        <f>$C$52+(($B53-$B$52)*(($C$56-$C$52)/($B$56-$B$52)))</f>
        <v>0.46725</v>
      </c>
      <c r="D53" s="1">
        <f>$D$52+(($B53-$B$52)*(($D$56-$D$52)/($B$56-$B$52)))</f>
        <v>1.8785000000000003E-2</v>
      </c>
      <c r="E53" s="28">
        <f>$E$52+(($B53-$B$52)*(($E$56-$E$52)/($B$56-$B$52)))</f>
        <v>3.3500000000000009E-2</v>
      </c>
      <c r="F53">
        <f t="shared" si="0"/>
        <v>1.8610740811008372E-2</v>
      </c>
      <c r="G53">
        <f t="shared" si="1"/>
        <v>0.90691514469515988</v>
      </c>
      <c r="H53" s="43">
        <f>calcCapValue($B$33:$B53, $E$33:$E53, $E53, C53, 0.25, $G$33:G53)</f>
        <v>2.0214983879387565E-2</v>
      </c>
      <c r="I53">
        <f t="shared" si="2"/>
        <v>1.8744247070958155E-3</v>
      </c>
      <c r="J53" s="29">
        <f t="shared" si="3"/>
        <v>1.1739356881873895</v>
      </c>
      <c r="K53">
        <f t="shared" si="4"/>
        <v>-1.1739356881873895</v>
      </c>
      <c r="L53">
        <f t="shared" si="5"/>
        <v>0.87978960681578233</v>
      </c>
      <c r="M53">
        <f t="shared" si="6"/>
        <v>0.12021039318421764</v>
      </c>
      <c r="N53">
        <f t="shared" si="7"/>
        <v>0.27443211469106898</v>
      </c>
      <c r="O53">
        <f t="shared" si="8"/>
        <v>0.33069108254296675</v>
      </c>
      <c r="P53" s="31">
        <f t="shared" si="9"/>
        <v>0.27443211469106898</v>
      </c>
    </row>
    <row r="54" spans="2:16" x14ac:dyDescent="0.3">
      <c r="B54" s="29">
        <v>5.5</v>
      </c>
      <c r="C54" s="29">
        <f>$C$52+(($B54-$B$52)*(($C$56-$C$52)/($B$56-$B$52)))</f>
        <v>0.45250000000000001</v>
      </c>
      <c r="D54" s="1">
        <f>$D$52+(($B54-$B$52)*(($D$56-$D$52)/($B$56-$B$52)))</f>
        <v>1.9550000000000001E-2</v>
      </c>
      <c r="E54" s="28">
        <f>$E$52+(($B54-$B$52)*(($E$56-$E$52)/($B$56-$B$52)))</f>
        <v>3.4460000000000005E-2</v>
      </c>
      <c r="F54">
        <f t="shared" si="0"/>
        <v>1.9361353478619819E-2</v>
      </c>
      <c r="G54">
        <f t="shared" si="1"/>
        <v>0.89898633564376573</v>
      </c>
      <c r="H54" s="43">
        <f>calcCapValue($B$33:$B54, $E$33:$E54, $E54, C54, 0.25, $G$33:G54)</f>
        <v>2.1990982844389412E-2</v>
      </c>
      <c r="I54">
        <f t="shared" si="2"/>
        <v>1.7759989650018466E-3</v>
      </c>
      <c r="J54" s="29">
        <f t="shared" si="3"/>
        <v>1.2001983962979581</v>
      </c>
      <c r="K54">
        <f t="shared" si="4"/>
        <v>-1.2001983962979581</v>
      </c>
      <c r="L54">
        <f t="shared" si="5"/>
        <v>0.88496885098680178</v>
      </c>
      <c r="M54">
        <f t="shared" si="6"/>
        <v>0.11503114901319825</v>
      </c>
      <c r="N54">
        <f t="shared" si="7"/>
        <v>0.24857538159955986</v>
      </c>
      <c r="O54">
        <f t="shared" si="8"/>
        <v>0.35345739936775133</v>
      </c>
      <c r="P54" s="31">
        <f t="shared" si="9"/>
        <v>0.24857538159955986</v>
      </c>
    </row>
    <row r="55" spans="2:16" x14ac:dyDescent="0.3">
      <c r="B55" s="29">
        <v>5.75</v>
      </c>
      <c r="C55" s="29">
        <f>$C$52+(($B55-$B$52)*(($C$56-$C$52)/($B$56-$B$52)))</f>
        <v>0.43774999999999997</v>
      </c>
      <c r="D55" s="1">
        <f>$D$52+(($B55-$B$52)*(($D$56-$D$52)/($B$56-$B$52)))</f>
        <v>2.0315E-2</v>
      </c>
      <c r="E55" s="28">
        <f>$E$52+(($B55-$B$52)*(($E$56-$E$52)/($B$56-$B$52)))</f>
        <v>3.542E-2</v>
      </c>
      <c r="F55">
        <f t="shared" si="0"/>
        <v>2.011140314942083E-2</v>
      </c>
      <c r="G55">
        <f t="shared" si="1"/>
        <v>0.89079534601843091</v>
      </c>
      <c r="H55" s="43">
        <f>calcCapValue($B$33:$B55, $E$33:$E55, $E55, C55, 0.25, $G$33:G55)</f>
        <v>2.3656066787276143E-2</v>
      </c>
      <c r="I55">
        <f t="shared" si="2"/>
        <v>1.6650839428867317E-3</v>
      </c>
      <c r="J55" s="29">
        <f t="shared" si="3"/>
        <v>1.2259041190447599</v>
      </c>
      <c r="K55">
        <f t="shared" si="4"/>
        <v>-1.2259041190447599</v>
      </c>
      <c r="L55">
        <f t="shared" si="5"/>
        <v>0.8898826207146312</v>
      </c>
      <c r="M55">
        <f t="shared" si="6"/>
        <v>0.11011737928536884</v>
      </c>
      <c r="N55">
        <f t="shared" si="7"/>
        <v>0.22330034482576847</v>
      </c>
      <c r="O55">
        <f t="shared" si="8"/>
        <v>0.37627572474469123</v>
      </c>
      <c r="P55" s="31">
        <f t="shared" si="9"/>
        <v>0.22330034482576847</v>
      </c>
    </row>
    <row r="56" spans="2:16" x14ac:dyDescent="0.3">
      <c r="B56" s="47">
        <v>6</v>
      </c>
      <c r="C56" s="47">
        <f>$G$4</f>
        <v>0.42299999999999999</v>
      </c>
      <c r="D56" s="48">
        <f>$G$3</f>
        <v>2.1080000000000002E-2</v>
      </c>
      <c r="E56" s="49">
        <f>$G$5</f>
        <v>3.6379999999999996E-2</v>
      </c>
      <c r="F56" s="46">
        <f t="shared" si="0"/>
        <v>2.0860890667329209E-2</v>
      </c>
      <c r="G56" s="46">
        <f t="shared" si="1"/>
        <v>0.88235099907569392</v>
      </c>
      <c r="H56" s="45">
        <f>calcCapValue($B$33:$B56, $E$33:$E56, $E56, C56, 0.25, $G$33:G56)</f>
        <v>2.5197787953831392E-2</v>
      </c>
      <c r="I56" s="46">
        <f t="shared" si="2"/>
        <v>1.5417211665552481E-3</v>
      </c>
      <c r="J56" s="47">
        <f t="shared" si="3"/>
        <v>1.2510864843424487</v>
      </c>
      <c r="K56" s="46">
        <f t="shared" si="4"/>
        <v>-1.2510864843424487</v>
      </c>
      <c r="L56" s="46">
        <f t="shared" si="5"/>
        <v>0.8945485369716949</v>
      </c>
      <c r="M56" s="46">
        <f t="shared" si="6"/>
        <v>0.10545146302830515</v>
      </c>
      <c r="N56" s="46">
        <f t="shared" si="7"/>
        <v>0.19853589987242348</v>
      </c>
      <c r="O56" s="46">
        <f t="shared" si="8"/>
        <v>0.39905409627047012</v>
      </c>
      <c r="P56" s="31">
        <f t="shared" si="9"/>
        <v>0.19853589987242348</v>
      </c>
    </row>
    <row r="57" spans="2:16" x14ac:dyDescent="0.3">
      <c r="B57" s="29">
        <v>6.25</v>
      </c>
      <c r="C57" s="29">
        <f>$C$56+(($B57-$B$56)*((C$60-C$56)/($B$60-$B$56)))</f>
        <v>0.41562500000000002</v>
      </c>
      <c r="D57" s="1">
        <f>$D$56+(($B57-$B$56)*((D$60-D$56)/($B$60-$B$56)))</f>
        <v>2.1697500000000002E-2</v>
      </c>
      <c r="E57" s="28">
        <f>$E$56+(($B57-$B$56)*((E$60-E$56)/($B$60-$B$56)))</f>
        <v>3.6877499999999994E-2</v>
      </c>
      <c r="F57">
        <f t="shared" si="0"/>
        <v>2.1465459710025392E-2</v>
      </c>
      <c r="G57">
        <f t="shared" si="1"/>
        <v>0.87445090811616522</v>
      </c>
      <c r="H57" s="43">
        <f>calcCapValue($B$33:$B57, $E$33:$E57, $E57, C57, 0.25, $G$33:G57)</f>
        <v>2.7491830999059684E-2</v>
      </c>
      <c r="I57">
        <f t="shared" si="2"/>
        <v>2.2940430452282924E-3</v>
      </c>
      <c r="J57" s="29">
        <f t="shared" si="3"/>
        <v>1.2757759076995721</v>
      </c>
      <c r="K57">
        <f t="shared" si="4"/>
        <v>-1.2757759076995721</v>
      </c>
      <c r="L57">
        <f t="shared" si="5"/>
        <v>0.8989826267748019</v>
      </c>
      <c r="M57">
        <f t="shared" si="6"/>
        <v>0.10101737322519812</v>
      </c>
      <c r="N57">
        <f t="shared" si="7"/>
        <v>0.2916415402086473</v>
      </c>
      <c r="O57">
        <f t="shared" si="8"/>
        <v>0.41090258129013729</v>
      </c>
      <c r="P57" s="31">
        <f t="shared" si="9"/>
        <v>0.2916415402086473</v>
      </c>
    </row>
    <row r="58" spans="2:16" x14ac:dyDescent="0.3">
      <c r="B58" s="29">
        <v>6.5</v>
      </c>
      <c r="C58" s="29">
        <f>$C$56+(($B58-$B$56)*((C$60-C$56)/($B$60-$B$56)))</f>
        <v>0.40825</v>
      </c>
      <c r="D58" s="1">
        <f>$D$56+(($B58-$B$56)*((D$60-D$56)/($B$60-$B$56)))</f>
        <v>2.2315000000000002E-2</v>
      </c>
      <c r="E58" s="28">
        <f>$E$56+(($B58-$B$56)*((E$60-E$56)/($B$60-$B$56)))</f>
        <v>3.7374999999999992E-2</v>
      </c>
      <c r="F58">
        <f t="shared" si="0"/>
        <v>2.2069663469822018E-2</v>
      </c>
      <c r="G58">
        <f t="shared" si="1"/>
        <v>0.86636168061787211</v>
      </c>
      <c r="H58" s="43">
        <f>calcCapValue($B$33:$B58, $E$33:$E58, $E58, C58, 0.25, $G$33:G58)</f>
        <v>2.9725327832655194E-2</v>
      </c>
      <c r="I58">
        <f t="shared" si="2"/>
        <v>2.2334968335955101E-3</v>
      </c>
      <c r="J58" s="29">
        <f t="shared" si="3"/>
        <v>1.3</v>
      </c>
      <c r="K58">
        <f t="shared" si="4"/>
        <v>-1.3</v>
      </c>
      <c r="L58">
        <f t="shared" si="5"/>
        <v>0.9031995154143897</v>
      </c>
      <c r="M58">
        <f t="shared" si="6"/>
        <v>9.6800484585610316E-2</v>
      </c>
      <c r="N58">
        <f t="shared" si="7"/>
        <v>0.27691279409025582</v>
      </c>
      <c r="O58">
        <f t="shared" si="8"/>
        <v>0.42321779765927486</v>
      </c>
      <c r="P58" s="31">
        <f t="shared" si="9"/>
        <v>0.27691279409025582</v>
      </c>
    </row>
    <row r="59" spans="2:16" x14ac:dyDescent="0.3">
      <c r="B59" s="29">
        <v>6.75</v>
      </c>
      <c r="C59" s="29">
        <f>$C$56+(($B59-$B$56)*((C$60-C$56)/($B$60-$B$56)))</f>
        <v>0.40087499999999998</v>
      </c>
      <c r="D59" s="1">
        <f>$D$56+(($B59-$B$56)*((D$60-D$56)/($B$60-$B$56)))</f>
        <v>2.2932500000000001E-2</v>
      </c>
      <c r="E59" s="28">
        <f>$E$56+(($B59-$B$56)*((E$60-E$56)/($B$60-$B$56)))</f>
        <v>3.787249999999999E-2</v>
      </c>
      <c r="F59">
        <f t="shared" si="0"/>
        <v>2.2673502387862744E-2</v>
      </c>
      <c r="G59">
        <f t="shared" si="1"/>
        <v>0.85809012766004356</v>
      </c>
      <c r="H59" s="43">
        <f>calcCapValue($B$33:$B59, $E$33:$E59, $E59, C59, 0.25, $G$33:G59)</f>
        <v>3.1892801529112912E-2</v>
      </c>
      <c r="I59">
        <f t="shared" si="2"/>
        <v>2.1674736964577175E-3</v>
      </c>
      <c r="J59" s="29">
        <f t="shared" si="3"/>
        <v>1.3237839121827422</v>
      </c>
      <c r="K59">
        <f t="shared" si="4"/>
        <v>-1.3237839121827422</v>
      </c>
      <c r="L59">
        <f t="shared" si="5"/>
        <v>0.90721258969990648</v>
      </c>
      <c r="M59">
        <f t="shared" si="6"/>
        <v>9.2787410300093534E-2</v>
      </c>
      <c r="N59">
        <f t="shared" si="7"/>
        <v>0.26238532864243436</v>
      </c>
      <c r="O59">
        <f t="shared" si="8"/>
        <v>0.43495691852639434</v>
      </c>
      <c r="P59" s="31">
        <f t="shared" si="9"/>
        <v>0.26238532864243436</v>
      </c>
    </row>
    <row r="60" spans="2:16" x14ac:dyDescent="0.3">
      <c r="B60" s="47">
        <v>7</v>
      </c>
      <c r="C60" s="47">
        <f>$H$4</f>
        <v>0.39350000000000002</v>
      </c>
      <c r="D60" s="48">
        <f>$H$3</f>
        <v>2.3550000000000001E-2</v>
      </c>
      <c r="E60" s="49">
        <f>$H$5</f>
        <v>3.8369999999999987E-2</v>
      </c>
      <c r="F60" s="46">
        <f t="shared" si="0"/>
        <v>2.3276976904493218E-2</v>
      </c>
      <c r="G60" s="46">
        <f t="shared" si="1"/>
        <v>0.84964315241834332</v>
      </c>
      <c r="H60" s="45">
        <f>calcCapValue($B$33:$B60, $E$33:$E60, $E60, C60, 0.25, $G$33:G60)</f>
        <v>3.3988880643487249E-2</v>
      </c>
      <c r="I60" s="46">
        <f t="shared" si="2"/>
        <v>2.0960791143743371E-3</v>
      </c>
      <c r="J60" s="47">
        <f t="shared" si="3"/>
        <v>1.3471506281091268</v>
      </c>
      <c r="K60" s="46">
        <f t="shared" si="4"/>
        <v>-1.3471506281091268</v>
      </c>
      <c r="L60" s="46">
        <f t="shared" si="5"/>
        <v>0.91103413736587269</v>
      </c>
      <c r="M60" s="46">
        <f t="shared" si="6"/>
        <v>8.8965862634127285E-2</v>
      </c>
      <c r="N60" s="46">
        <f t="shared" si="7"/>
        <v>0.24803772361779816</v>
      </c>
      <c r="O60" s="46">
        <f t="shared" si="8"/>
        <v>0.44609864605134647</v>
      </c>
      <c r="P60" s="31">
        <f t="shared" si="9"/>
        <v>0.24803772361779816</v>
      </c>
    </row>
    <row r="61" spans="2:16" x14ac:dyDescent="0.3">
      <c r="B61" s="29">
        <v>7.25</v>
      </c>
      <c r="C61" s="29">
        <f>C$60+(($B61-$B$60)*((C$64-C$60)/($B$64-$B$60)))</f>
        <v>0.38450000000000001</v>
      </c>
      <c r="D61" s="1">
        <f>D$60+(($B61-$B$60)*((D$64-D$60)/($B$64-$B$60)))</f>
        <v>2.4040000000000002E-2</v>
      </c>
      <c r="E61" s="28">
        <f>E$60+(($B61-$B$60)*((E$64-E$60)/($B$64-$B$60)))</f>
        <v>3.8584999999999994E-2</v>
      </c>
      <c r="F61">
        <f t="shared" si="0"/>
        <v>2.3755588354396517E-2</v>
      </c>
      <c r="G61">
        <f t="shared" si="1"/>
        <v>0.84178721069397633</v>
      </c>
      <c r="H61" s="43">
        <f>calcCapValue($B$33:$B61, $E$33:$E61, $E61, C61, 0.25, $G$33:G61)</f>
        <v>3.6067697113410978E-2</v>
      </c>
      <c r="I61">
        <f t="shared" si="2"/>
        <v>2.0788164699237291E-3</v>
      </c>
      <c r="J61" s="29">
        <f t="shared" si="3"/>
        <v>1.3701212146584485</v>
      </c>
      <c r="K61">
        <f t="shared" si="4"/>
        <v>-1.3701212146584485</v>
      </c>
      <c r="L61">
        <f t="shared" si="5"/>
        <v>0.91467546675416633</v>
      </c>
      <c r="M61">
        <f t="shared" si="6"/>
        <v>8.5324533245833611E-2</v>
      </c>
      <c r="N61">
        <f t="shared" si="7"/>
        <v>0.2425723851254161</v>
      </c>
      <c r="O61">
        <f t="shared" si="8"/>
        <v>0.45072639237013334</v>
      </c>
      <c r="P61" s="31">
        <f t="shared" si="9"/>
        <v>0.2425723851254161</v>
      </c>
    </row>
    <row r="62" spans="2:16" x14ac:dyDescent="0.3">
      <c r="B62" s="29">
        <v>7.5</v>
      </c>
      <c r="C62" s="29">
        <f t="shared" ref="C62:E63" si="10">C$60+(($B62-$B$60)*((C$64-C$60)/($B$64-$B$60)))</f>
        <v>0.3755</v>
      </c>
      <c r="D62" s="1">
        <f t="shared" si="10"/>
        <v>2.4530000000000003E-2</v>
      </c>
      <c r="E62" s="28">
        <f t="shared" si="10"/>
        <v>3.8800000000000001E-2</v>
      </c>
      <c r="F62">
        <f t="shared" si="0"/>
        <v>2.4233970844957816E-2</v>
      </c>
      <c r="G62">
        <f t="shared" si="1"/>
        <v>0.83380578008694095</v>
      </c>
      <c r="H62" s="43">
        <f>calcCapValue($B$33:$B62, $E$33:$E62, $E62, C62, 0.25, $G$33:G62)</f>
        <v>3.8031546481558154E-2</v>
      </c>
      <c r="I62">
        <f t="shared" si="2"/>
        <v>1.9638493681471761E-3</v>
      </c>
      <c r="J62" s="29">
        <f t="shared" si="3"/>
        <v>1.3927150363278893</v>
      </c>
      <c r="K62">
        <f t="shared" si="4"/>
        <v>-1.3927150363278893</v>
      </c>
      <c r="L62">
        <f t="shared" si="5"/>
        <v>0.91814701008355226</v>
      </c>
      <c r="M62">
        <f t="shared" si="6"/>
        <v>8.1852989916447697E-2</v>
      </c>
      <c r="N62">
        <f t="shared" si="7"/>
        <v>0.22579076840393938</v>
      </c>
      <c r="O62">
        <f t="shared" si="8"/>
        <v>0.45484737414696963</v>
      </c>
      <c r="P62" s="31">
        <f t="shared" si="9"/>
        <v>0.22579076840393938</v>
      </c>
    </row>
    <row r="63" spans="2:16" x14ac:dyDescent="0.3">
      <c r="B63" s="29">
        <v>7.75</v>
      </c>
      <c r="C63" s="29">
        <f t="shared" si="10"/>
        <v>0.36649999999999999</v>
      </c>
      <c r="D63" s="1">
        <f t="shared" si="10"/>
        <v>2.5020000000000001E-2</v>
      </c>
      <c r="E63" s="28">
        <f t="shared" si="10"/>
        <v>3.9015000000000008E-2</v>
      </c>
      <c r="F63">
        <f t="shared" si="0"/>
        <v>2.4712124595133091E-2</v>
      </c>
      <c r="G63">
        <f t="shared" si="1"/>
        <v>0.82570396497672227</v>
      </c>
      <c r="H63" s="43">
        <f>calcCapValue($B$33:$B63, $E$33:$E63, $E63, C63, 0.25, $G$33:G63)</f>
        <v>3.9875471591764258E-2</v>
      </c>
      <c r="I63">
        <f t="shared" si="2"/>
        <v>1.8439251102061044E-3</v>
      </c>
      <c r="J63" s="29">
        <f t="shared" si="3"/>
        <v>1.4149499402216792</v>
      </c>
      <c r="K63">
        <f t="shared" si="4"/>
        <v>-1.4149499402216792</v>
      </c>
      <c r="L63">
        <f t="shared" si="5"/>
        <v>0.92145841298553499</v>
      </c>
      <c r="M63">
        <f t="shared" si="6"/>
        <v>7.854158701446505E-2</v>
      </c>
      <c r="N63">
        <f t="shared" si="7"/>
        <v>0.20906522571818903</v>
      </c>
      <c r="O63">
        <f t="shared" si="8"/>
        <v>0.45835180979210433</v>
      </c>
      <c r="P63" s="31">
        <f t="shared" si="9"/>
        <v>0.20906522571818903</v>
      </c>
    </row>
    <row r="64" spans="2:16" x14ac:dyDescent="0.3">
      <c r="B64" s="47">
        <v>8</v>
      </c>
      <c r="C64" s="47">
        <f>$I$4</f>
        <v>0.35749999999999998</v>
      </c>
      <c r="D64" s="48">
        <f>$I$3</f>
        <v>2.5510000000000001E-2</v>
      </c>
      <c r="E64" s="49">
        <f>$I$5</f>
        <v>3.9230000000000015E-2</v>
      </c>
      <c r="F64" s="46">
        <f t="shared" si="0"/>
        <v>2.5190049823563519E-2</v>
      </c>
      <c r="G64" s="46">
        <f t="shared" si="1"/>
        <v>0.81748690181109751</v>
      </c>
      <c r="H64" s="45">
        <f>calcCapValue($B$33:$B64, $E$33:$E64, $E64, C64, 0.25, $G$33:G64)</f>
        <v>4.1594706318417343E-2</v>
      </c>
      <c r="I64" s="46">
        <f t="shared" si="2"/>
        <v>1.719234726653085E-3</v>
      </c>
      <c r="J64" s="47">
        <f t="shared" si="3"/>
        <v>1.4368424162141993</v>
      </c>
      <c r="K64" s="46">
        <f t="shared" si="4"/>
        <v>-1.4368424162141993</v>
      </c>
      <c r="L64" s="46">
        <f t="shared" si="5"/>
        <v>0.92461861248667732</v>
      </c>
      <c r="M64" s="46">
        <f t="shared" si="6"/>
        <v>7.5381387513322642E-2</v>
      </c>
      <c r="N64" s="46">
        <f t="shared" si="7"/>
        <v>0.19238577115941186</v>
      </c>
      <c r="O64" s="46">
        <f t="shared" si="8"/>
        <v>0.46125415905431744</v>
      </c>
      <c r="P64" s="31">
        <f t="shared" si="9"/>
        <v>0.19238577115941186</v>
      </c>
    </row>
    <row r="65" spans="2:16" x14ac:dyDescent="0.3">
      <c r="B65" s="29">
        <v>8.25</v>
      </c>
      <c r="C65" s="29">
        <f>C$64+(($B65-$B$64)*((C$68-C$64)/($B$68-$B$64)))</f>
        <v>0.35249999999999998</v>
      </c>
      <c r="D65" s="1">
        <f>D$64+(($B65-$B$64)*((D$68-D$64)/($B$68-$B$64)))</f>
        <v>2.5912500000000002E-2</v>
      </c>
      <c r="E65" s="28">
        <f>E$64+(($B65-$B$64)*((E$68-E$64)/($B$68-$B$64)))</f>
        <v>3.9422500000000006E-2</v>
      </c>
      <c r="F65">
        <f t="shared" si="0"/>
        <v>2.5582460460733616E-2</v>
      </c>
      <c r="G65">
        <f t="shared" si="1"/>
        <v>0.809729288584359</v>
      </c>
      <c r="H65" s="43">
        <f>calcCapValue($B$33:$B65, $E$33:$E65, $E65, C65, 0.25, $G$33:G65)</f>
        <v>4.3785000821637395E-2</v>
      </c>
      <c r="I65">
        <f t="shared" si="2"/>
        <v>2.1902945032200513E-3</v>
      </c>
      <c r="J65" s="29">
        <f t="shared" si="3"/>
        <v>1.4584077361972543</v>
      </c>
      <c r="K65">
        <f t="shared" si="4"/>
        <v>-1.4584077361972543</v>
      </c>
      <c r="L65">
        <f t="shared" si="5"/>
        <v>0.92763590522145856</v>
      </c>
      <c r="M65">
        <f t="shared" si="6"/>
        <v>7.2364094778541485E-2</v>
      </c>
      <c r="N65">
        <f t="shared" si="7"/>
        <v>0.24444969315518805</v>
      </c>
      <c r="O65">
        <f t="shared" si="8"/>
        <v>0.46287586883250137</v>
      </c>
      <c r="P65" s="31">
        <f t="shared" si="9"/>
        <v>0.24444969315518805</v>
      </c>
    </row>
    <row r="66" spans="2:16" x14ac:dyDescent="0.3">
      <c r="B66" s="29">
        <v>8.5</v>
      </c>
      <c r="C66" s="29">
        <f t="shared" ref="C66:E67" si="11">C$64+(($B66-$B$64)*((C$68-C$64)/($B$68-$B$64)))</f>
        <v>0.34750000000000003</v>
      </c>
      <c r="D66" s="1">
        <f t="shared" si="11"/>
        <v>2.6314999999999998E-2</v>
      </c>
      <c r="E66" s="28">
        <f t="shared" si="11"/>
        <v>3.9614999999999997E-2</v>
      </c>
      <c r="F66">
        <f t="shared" si="0"/>
        <v>2.5974717172195655E-2</v>
      </c>
      <c r="G66">
        <f t="shared" si="1"/>
        <v>0.80188899095525379</v>
      </c>
      <c r="H66" s="43">
        <f>calcCapValue($B$33:$B66, $E$33:$E66, $E66, C66, 0.25, $G$33:G66)</f>
        <v>4.5910195688050111E-2</v>
      </c>
      <c r="I66">
        <f t="shared" si="2"/>
        <v>2.1251948664127163E-3</v>
      </c>
      <c r="J66" s="29">
        <f t="shared" si="3"/>
        <v>1.4796600756234315</v>
      </c>
      <c r="K66">
        <f t="shared" si="4"/>
        <v>-1.4796600756234315</v>
      </c>
      <c r="L66">
        <f t="shared" si="5"/>
        <v>0.93051800734360834</v>
      </c>
      <c r="M66">
        <f t="shared" si="6"/>
        <v>6.9481992656391711E-2</v>
      </c>
      <c r="N66">
        <f t="shared" si="7"/>
        <v>0.23456470862343776</v>
      </c>
      <c r="O66">
        <f t="shared" si="8"/>
        <v>0.46469372189522518</v>
      </c>
      <c r="P66" s="31">
        <f t="shared" si="9"/>
        <v>0.23456470862343776</v>
      </c>
    </row>
    <row r="67" spans="2:16" x14ac:dyDescent="0.3">
      <c r="B67" s="29">
        <v>8.75</v>
      </c>
      <c r="C67" s="29">
        <f t="shared" si="11"/>
        <v>0.34250000000000003</v>
      </c>
      <c r="D67" s="1">
        <f t="shared" si="11"/>
        <v>2.6717499999999998E-2</v>
      </c>
      <c r="E67" s="28">
        <f t="shared" si="11"/>
        <v>3.9807499999999989E-2</v>
      </c>
      <c r="F67">
        <f t="shared" si="0"/>
        <v>2.6366820078658863E-2</v>
      </c>
      <c r="G67">
        <f t="shared" si="1"/>
        <v>0.7939699413540916</v>
      </c>
      <c r="H67" s="43">
        <f>calcCapValue($B$33:$B67, $E$33:$E67, $E67, C67, 0.25, $G$33:G67)</f>
        <v>4.7967490628731783E-2</v>
      </c>
      <c r="I67">
        <f t="shared" si="2"/>
        <v>2.0572949406816726E-3</v>
      </c>
      <c r="J67" s="29">
        <f t="shared" si="3"/>
        <v>1.5006126199969523</v>
      </c>
      <c r="K67">
        <f t="shared" si="4"/>
        <v>-1.5006126199969523</v>
      </c>
      <c r="L67">
        <f t="shared" si="5"/>
        <v>0.93327210735012678</v>
      </c>
      <c r="M67">
        <f t="shared" si="6"/>
        <v>6.6727892649873208E-2</v>
      </c>
      <c r="N67">
        <f t="shared" si="7"/>
        <v>0.22470344442106799</v>
      </c>
      <c r="O67">
        <f t="shared" si="8"/>
        <v>0.46599971238942656</v>
      </c>
      <c r="P67" s="31">
        <f t="shared" si="9"/>
        <v>0.22470344442106799</v>
      </c>
    </row>
    <row r="68" spans="2:16" x14ac:dyDescent="0.3">
      <c r="B68" s="47">
        <v>9</v>
      </c>
      <c r="C68" s="47">
        <f>$J$4</f>
        <v>0.33750000000000002</v>
      </c>
      <c r="D68" s="48">
        <f>$J$3</f>
        <v>2.7119999999999998E-2</v>
      </c>
      <c r="E68" s="49">
        <f>$J$5</f>
        <v>3.999999999999998E-2</v>
      </c>
      <c r="F68" s="46">
        <f t="shared" si="0"/>
        <v>2.6758769300691179E-2</v>
      </c>
      <c r="G68" s="46">
        <f t="shared" si="1"/>
        <v>0.78597607676159342</v>
      </c>
      <c r="H68" s="45">
        <f>calcCapValue($B$33:$B68, $E$33:$E68, $E68, C68, 0.25, $G$33:G68)</f>
        <v>4.9954191687665704E-2</v>
      </c>
      <c r="I68" s="46">
        <f t="shared" si="2"/>
        <v>1.9867010589339207E-3</v>
      </c>
      <c r="J68" s="47">
        <f t="shared" si="3"/>
        <v>1.5212776585113297</v>
      </c>
      <c r="K68" s="46">
        <f t="shared" si="4"/>
        <v>-1.5212776585113297</v>
      </c>
      <c r="L68" s="46">
        <f t="shared" si="5"/>
        <v>0.93590491282744603</v>
      </c>
      <c r="M68" s="46">
        <f t="shared" si="6"/>
        <v>6.4095087172553952E-2</v>
      </c>
      <c r="N68" s="46">
        <f t="shared" si="7"/>
        <v>0.21486157365087974</v>
      </c>
      <c r="O68" s="46">
        <f t="shared" si="8"/>
        <v>0.46681001793353327</v>
      </c>
      <c r="P68" s="31">
        <f t="shared" si="9"/>
        <v>0.21486157365087974</v>
      </c>
    </row>
    <row r="69" spans="2:16" x14ac:dyDescent="0.3">
      <c r="B69" s="29">
        <v>9.25</v>
      </c>
      <c r="C69" s="29">
        <f>C$68+(($B69-$B$68)*((C$72-C$68)/($B$72-$B$68)))</f>
        <v>0.33450000000000002</v>
      </c>
      <c r="D69" s="1">
        <f>D$68+(($B69-$B$68)*((D$72-D$68)/($B$72-$B$68)))</f>
        <v>2.7459999999999998E-2</v>
      </c>
      <c r="E69" s="28">
        <f>E$68+(($B69-$B$68)*((E$72-E$68)/($B$72-$B$68)))</f>
        <v>4.0179999999999987E-2</v>
      </c>
      <c r="F69">
        <f t="shared" si="0"/>
        <v>2.7089737190093034E-2</v>
      </c>
      <c r="G69">
        <f t="shared" si="1"/>
        <v>0.77834915587359221</v>
      </c>
      <c r="H69" s="43">
        <f>calcCapValue($B$33:$B69, $E$33:$E69, $E69, C69, 0.25, $G$33:G69)</f>
        <v>5.2240210205293854E-2</v>
      </c>
      <c r="I69">
        <f t="shared" si="2"/>
        <v>2.2860185176281494E-3</v>
      </c>
      <c r="J69" s="29">
        <f t="shared" ref="J69:J100" si="12">((LOG(E69/(E69))+(N69^2)*(B69/2))/((N69^2)*SQRT(B69-0.25)))</f>
        <v>1.5416666666666667</v>
      </c>
      <c r="K69">
        <f t="shared" ref="K69:K100" si="13">((LOG(E69/(E69))-(N69^2)*(B69/2))/((N69^2)*SQRT(B69-0.25)))</f>
        <v>-1.5416666666666667</v>
      </c>
      <c r="L69">
        <f t="shared" si="5"/>
        <v>0.93842269196309058</v>
      </c>
      <c r="M69">
        <f t="shared" si="6"/>
        <v>6.1577308036909376E-2</v>
      </c>
      <c r="N69">
        <f t="shared" si="7"/>
        <v>0.24663893911195442</v>
      </c>
      <c r="O69">
        <f t="shared" ref="O69:O100" si="14">($I69-(G69*0.25*100*(E69*L69-(E69)*M69)))^2</f>
        <v>0.46686753974217621</v>
      </c>
      <c r="P69" s="31">
        <f t="shared" si="9"/>
        <v>0.24663893911195442</v>
      </c>
    </row>
    <row r="70" spans="2:16" x14ac:dyDescent="0.3">
      <c r="B70" s="29">
        <v>9.5</v>
      </c>
      <c r="C70" s="29">
        <f t="shared" ref="C70:E71" si="15">C$68+(($B70-$B$68)*((C$72-C$68)/($B$72-$B$68)))</f>
        <v>0.33150000000000002</v>
      </c>
      <c r="D70" s="1">
        <f t="shared" si="15"/>
        <v>2.7799999999999998E-2</v>
      </c>
      <c r="E70" s="28">
        <f t="shared" si="15"/>
        <v>4.0359999999999993E-2</v>
      </c>
      <c r="F70">
        <f t="shared" si="0"/>
        <v>2.7420595575992218E-2</v>
      </c>
      <c r="G70">
        <f t="shared" si="1"/>
        <v>0.77066950263740253</v>
      </c>
      <c r="H70" s="43">
        <f>calcCapValue($B$33:$B70, $E$33:$E70, $E70, C70, 0.25, $G$33:G70)</f>
        <v>5.4486631479622703E-2</v>
      </c>
      <c r="I70">
        <f t="shared" si="2"/>
        <v>2.2464212743288497E-3</v>
      </c>
      <c r="J70" s="29">
        <f t="shared" si="12"/>
        <v>1.5617903794008945</v>
      </c>
      <c r="K70">
        <f t="shared" si="13"/>
        <v>-1.5617903794008945</v>
      </c>
      <c r="L70">
        <f t="shared" si="5"/>
        <v>0.94083131053074387</v>
      </c>
      <c r="M70">
        <f t="shared" si="6"/>
        <v>5.9168689469256117E-2</v>
      </c>
      <c r="N70">
        <f t="shared" si="7"/>
        <v>0.2403247550953444</v>
      </c>
      <c r="O70">
        <f t="shared" si="14"/>
        <v>0.46695260826727381</v>
      </c>
      <c r="P70" s="31">
        <f t="shared" si="9"/>
        <v>0.2403247550953444</v>
      </c>
    </row>
    <row r="71" spans="2:16" x14ac:dyDescent="0.3">
      <c r="B71" s="29">
        <v>9.75</v>
      </c>
      <c r="C71" s="29">
        <f t="shared" si="15"/>
        <v>0.32850000000000001</v>
      </c>
      <c r="D71" s="1">
        <f t="shared" si="15"/>
        <v>2.8139999999999998E-2</v>
      </c>
      <c r="E71" s="28">
        <f t="shared" si="15"/>
        <v>4.054E-2</v>
      </c>
      <c r="F71">
        <f t="shared" si="0"/>
        <v>2.7751344530825072E-2</v>
      </c>
      <c r="G71">
        <f t="shared" si="1"/>
        <v>0.76294021253493716</v>
      </c>
      <c r="H71" s="43">
        <f>calcCapValue($B$33:$B71, $E$33:$E71, $E71, C71, 0.25, $G$33:G71)</f>
        <v>5.6691619740463224E-2</v>
      </c>
      <c r="I71">
        <f t="shared" si="2"/>
        <v>2.2049882608405208E-3</v>
      </c>
      <c r="J71" s="29">
        <f t="shared" si="12"/>
        <v>1.5816588560249347</v>
      </c>
      <c r="K71">
        <f t="shared" si="13"/>
        <v>-1.5816588560249347</v>
      </c>
      <c r="L71">
        <f t="shared" si="5"/>
        <v>0.94313626494562519</v>
      </c>
      <c r="M71">
        <f t="shared" si="6"/>
        <v>5.686373505437483E-2</v>
      </c>
      <c r="N71">
        <f t="shared" si="7"/>
        <v>0.23402203317212331</v>
      </c>
      <c r="O71">
        <f t="shared" si="14"/>
        <v>0.46662055359078969</v>
      </c>
      <c r="P71" s="31">
        <f t="shared" si="9"/>
        <v>0.23402203317212331</v>
      </c>
    </row>
    <row r="72" spans="2:16" x14ac:dyDescent="0.3">
      <c r="B72" s="47">
        <v>10</v>
      </c>
      <c r="C72" s="47">
        <f>$K$4</f>
        <v>0.32550000000000001</v>
      </c>
      <c r="D72" s="48">
        <f>$K$3</f>
        <v>2.8479999999999998E-2</v>
      </c>
      <c r="E72" s="49">
        <f>$K$5</f>
        <v>4.0720000000000006E-2</v>
      </c>
      <c r="F72" s="46">
        <f t="shared" si="0"/>
        <v>2.8081984126956082E-2</v>
      </c>
      <c r="G72" s="46">
        <f t="shared" si="1"/>
        <v>0.75516437268035042</v>
      </c>
      <c r="H72" s="45">
        <f>calcCapValue($B$33:$B72, $E$33:$E72, $E72, C72, 0.25, $G$33:G72)</f>
        <v>5.8853405488207639E-2</v>
      </c>
      <c r="I72" s="46">
        <f t="shared" si="2"/>
        <v>2.1617857477444144E-3</v>
      </c>
      <c r="J72" s="47">
        <f t="shared" si="12"/>
        <v>1.6012815380508711</v>
      </c>
      <c r="K72" s="46">
        <f t="shared" si="13"/>
        <v>-1.6012815380508711</v>
      </c>
      <c r="L72" s="46">
        <f t="shared" si="5"/>
        <v>0.94534271189566677</v>
      </c>
      <c r="M72" s="46">
        <f t="shared" si="6"/>
        <v>5.4657288104333186E-2</v>
      </c>
      <c r="N72" s="46">
        <f t="shared" si="7"/>
        <v>0.22772837572780841</v>
      </c>
      <c r="O72" s="46">
        <f t="shared" si="14"/>
        <v>0.46588701202292532</v>
      </c>
      <c r="P72" s="31">
        <f t="shared" si="9"/>
        <v>0.22772837572780841</v>
      </c>
    </row>
    <row r="73" spans="2:16" x14ac:dyDescent="0.3">
      <c r="B73" s="29">
        <v>10.25</v>
      </c>
      <c r="C73" s="29">
        <f>C$72+(($B73-$B$72)*((C$76-C$72)/($B$76-$B$72)))</f>
        <v>0.3218125</v>
      </c>
      <c r="D73" s="1">
        <f>D$72+(($B73-$B$72)*((D$76-D$72)/($B$76-$B$72)))</f>
        <v>2.8774999999999998E-2</v>
      </c>
      <c r="E73" s="28">
        <f>E$72+(($B73-$B$72)*((E$76-E$72)/($B$76-$B$72)))</f>
        <v>4.0905000000000004E-2</v>
      </c>
      <c r="F73">
        <f t="shared" si="0"/>
        <v>2.8368774050443326E-2</v>
      </c>
      <c r="G73">
        <f t="shared" si="1"/>
        <v>0.74768019889260906</v>
      </c>
      <c r="H73" s="43">
        <f>calcCapValue($B$33:$B73, $E$33:$E73, $E73, C73, 0.25, $G$33:G73)</f>
        <v>6.0818203650653976E-2</v>
      </c>
      <c r="I73">
        <f t="shared" si="2"/>
        <v>1.9647981624463379E-3</v>
      </c>
      <c r="J73" s="29">
        <f t="shared" si="12"/>
        <v>1.6206673008362944</v>
      </c>
      <c r="K73">
        <f t="shared" si="13"/>
        <v>-1.6206673008362944</v>
      </c>
      <c r="L73">
        <f t="shared" si="5"/>
        <v>0.94745549497835047</v>
      </c>
      <c r="M73">
        <f t="shared" si="6"/>
        <v>5.2544505021649569E-2</v>
      </c>
      <c r="N73">
        <f t="shared" si="7"/>
        <v>0.2048039006310208</v>
      </c>
      <c r="O73">
        <f t="shared" si="14"/>
        <v>0.46550733540991646</v>
      </c>
      <c r="P73" s="31">
        <f t="shared" si="9"/>
        <v>0.2048039006310208</v>
      </c>
    </row>
    <row r="74" spans="2:16" x14ac:dyDescent="0.3">
      <c r="B74" s="29">
        <v>10.5</v>
      </c>
      <c r="C74" s="29">
        <f t="shared" ref="C74:E75" si="16">C$72+(($B74-$B$72)*((C$76-C$72)/($B$76-$B$72)))</f>
        <v>0.31812499999999999</v>
      </c>
      <c r="D74" s="1">
        <f t="shared" si="16"/>
        <v>2.9069999999999999E-2</v>
      </c>
      <c r="E74" s="28">
        <f t="shared" si="16"/>
        <v>4.1090000000000002E-2</v>
      </c>
      <c r="F74">
        <f t="shared" si="0"/>
        <v>2.8655481749051061E-2</v>
      </c>
      <c r="G74">
        <f t="shared" si="1"/>
        <v>0.74016469379431449</v>
      </c>
      <c r="H74" s="43">
        <f>calcCapValue($B$33:$B74, $E$33:$E74, $E74, C74, 0.25, $G$33:G74)</f>
        <v>6.2725699261778373E-2</v>
      </c>
      <c r="I74">
        <f t="shared" si="2"/>
        <v>1.9074956111243963E-3</v>
      </c>
      <c r="J74" s="29">
        <f t="shared" si="12"/>
        <v>1.6398244998303637</v>
      </c>
      <c r="K74">
        <f t="shared" si="13"/>
        <v>-1.6398244998303637</v>
      </c>
      <c r="L74">
        <f t="shared" si="5"/>
        <v>0.94947916871020444</v>
      </c>
      <c r="M74">
        <f t="shared" si="6"/>
        <v>5.052083128979553E-2</v>
      </c>
      <c r="N74">
        <f t="shared" si="7"/>
        <v>0.19738161846235816</v>
      </c>
      <c r="O74">
        <f t="shared" si="14"/>
        <v>0.46458027252703527</v>
      </c>
      <c r="P74" s="31">
        <f t="shared" si="9"/>
        <v>0.19738161846235816</v>
      </c>
    </row>
    <row r="75" spans="2:16" x14ac:dyDescent="0.3">
      <c r="B75" s="29">
        <v>10.75</v>
      </c>
      <c r="C75" s="29">
        <f t="shared" si="16"/>
        <v>0.31443749999999998</v>
      </c>
      <c r="D75" s="1">
        <f t="shared" si="16"/>
        <v>2.9364999999999999E-2</v>
      </c>
      <c r="E75" s="28">
        <f t="shared" si="16"/>
        <v>4.1274999999999999E-2</v>
      </c>
      <c r="F75">
        <f t="shared" si="0"/>
        <v>2.8942107269914998E-2</v>
      </c>
      <c r="G75">
        <f t="shared" si="1"/>
        <v>0.73262034860351888</v>
      </c>
      <c r="H75" s="43">
        <f>calcCapValue($B$33:$B75, $E$33:$E75, $E75, C75, 0.25, $G$33:G75)</f>
        <v>6.4574198338131383E-2</v>
      </c>
      <c r="I75">
        <f t="shared" si="2"/>
        <v>1.8484990763530107E-3</v>
      </c>
      <c r="J75" s="29">
        <f t="shared" si="12"/>
        <v>1.6587610120924881</v>
      </c>
      <c r="K75">
        <f t="shared" si="13"/>
        <v>-1.6587610120924881</v>
      </c>
      <c r="L75">
        <f t="shared" si="5"/>
        <v>0.9514180202234982</v>
      </c>
      <c r="M75">
        <f t="shared" si="6"/>
        <v>4.8581979776501805E-2</v>
      </c>
      <c r="N75">
        <f t="shared" si="7"/>
        <v>0.18996506445706018</v>
      </c>
      <c r="O75">
        <f t="shared" si="14"/>
        <v>0.46331277860977926</v>
      </c>
      <c r="P75" s="31">
        <f t="shared" si="9"/>
        <v>0.18996506445706018</v>
      </c>
    </row>
    <row r="76" spans="2:16" x14ac:dyDescent="0.3">
      <c r="B76" s="47">
        <v>11</v>
      </c>
      <c r="C76" s="47">
        <f>$L$4</f>
        <v>0.31074999999999997</v>
      </c>
      <c r="D76" s="48">
        <f>$L$3</f>
        <v>2.9659999999999999E-2</v>
      </c>
      <c r="E76" s="49">
        <f>$L$5</f>
        <v>4.1459999999999997E-2</v>
      </c>
      <c r="F76" s="46">
        <f t="shared" si="0"/>
        <v>2.9228650660129689E-2</v>
      </c>
      <c r="G76" s="46">
        <f t="shared" si="1"/>
        <v>0.72504964017721019</v>
      </c>
      <c r="H76" s="45">
        <f>calcCapValue($B$33:$B76, $E$33:$E76, $E76, C76, 0.25, $G$33:G76)</f>
        <v>6.6362072124708293E-2</v>
      </c>
      <c r="I76" s="46">
        <f t="shared" si="2"/>
        <v>1.7878737865769101E-3</v>
      </c>
      <c r="J76" s="47">
        <f t="shared" si="12"/>
        <v>1.6774842736586515</v>
      </c>
      <c r="K76" s="46">
        <f t="shared" si="13"/>
        <v>-1.6774842736586515</v>
      </c>
      <c r="L76" s="46">
        <f t="shared" si="5"/>
        <v>0.95327608892069282</v>
      </c>
      <c r="M76" s="46">
        <f t="shared" si="6"/>
        <v>4.6723911079307158E-2</v>
      </c>
      <c r="N76" s="46">
        <f t="shared" si="7"/>
        <v>0.18255203823086957</v>
      </c>
      <c r="O76" s="46">
        <f t="shared" si="14"/>
        <v>0.46171853238433719</v>
      </c>
      <c r="P76" s="31">
        <f t="shared" si="9"/>
        <v>0.18255203823086957</v>
      </c>
    </row>
    <row r="77" spans="2:16" x14ac:dyDescent="0.3">
      <c r="B77" s="29">
        <v>11.25</v>
      </c>
      <c r="C77" s="29">
        <f>C$76+(($B77-$B$76)*((C$80-C$76)/($B$80-$B$76)))</f>
        <v>0.30706249999999996</v>
      </c>
      <c r="D77" s="1">
        <f>D$76+(($B77-$B$76)*((D$80-D$76)/($B$80-$B$76)))</f>
        <v>2.99075E-2</v>
      </c>
      <c r="E77" s="28">
        <f>E$76+(($B77-$B$76)*((E$80-E$76)/($B$80-$B$76)))</f>
        <v>4.1480000000000003E-2</v>
      </c>
      <c r="F77">
        <f t="shared" si="0"/>
        <v>2.9468992383517089E-2</v>
      </c>
      <c r="G77">
        <f t="shared" si="1"/>
        <v>0.7178273745097995</v>
      </c>
      <c r="H77" s="43">
        <f>calcCapValue($B$33:$B77, $E$33:$E77, $E77, C77, 0.25, $G$33:G77)</f>
        <v>6.8372050029278236E-2</v>
      </c>
      <c r="I77">
        <f t="shared" si="2"/>
        <v>2.0099779045699429E-3</v>
      </c>
      <c r="J77" s="29">
        <f t="shared" si="12"/>
        <v>1.6960013132499201</v>
      </c>
      <c r="K77">
        <f t="shared" si="13"/>
        <v>-1.6960013132499201</v>
      </c>
      <c r="L77">
        <f t="shared" si="5"/>
        <v>0.95505718432019981</v>
      </c>
      <c r="M77">
        <f t="shared" si="6"/>
        <v>4.4942815679800185E-2</v>
      </c>
      <c r="N77">
        <f t="shared" si="7"/>
        <v>0.20580738748634911</v>
      </c>
      <c r="O77">
        <f t="shared" si="14"/>
        <v>0.45625609380456594</v>
      </c>
      <c r="P77" s="31">
        <f t="shared" si="9"/>
        <v>0.20580738748634911</v>
      </c>
    </row>
    <row r="78" spans="2:16" x14ac:dyDescent="0.3">
      <c r="B78" s="29">
        <v>11.5</v>
      </c>
      <c r="C78" s="29">
        <f t="shared" ref="C78:E79" si="17">C$76+(($B78-$B$76)*((C$80-C$76)/($B$80-$B$76)))</f>
        <v>0.30337499999999995</v>
      </c>
      <c r="D78" s="1">
        <f t="shared" si="17"/>
        <v>3.0155000000000001E-2</v>
      </c>
      <c r="E78" s="28">
        <f t="shared" si="17"/>
        <v>4.1500000000000009E-2</v>
      </c>
      <c r="F78">
        <f t="shared" si="0"/>
        <v>2.9709276356640012E-2</v>
      </c>
      <c r="G78">
        <f t="shared" si="1"/>
        <v>0.71059212467264998</v>
      </c>
      <c r="H78" s="43">
        <f>calcCapValue($B$33:$B78, $E$33:$E78, $E78, C78, 0.25, $G$33:G78)</f>
        <v>7.0316864354883379E-2</v>
      </c>
      <c r="I78">
        <f t="shared" si="2"/>
        <v>1.9448143256051431E-3</v>
      </c>
      <c r="J78" s="29">
        <f t="shared" si="12"/>
        <v>1.7143187827498387</v>
      </c>
      <c r="K78">
        <f t="shared" si="13"/>
        <v>-1.7143187827498387</v>
      </c>
      <c r="L78">
        <f t="shared" si="5"/>
        <v>0.95676490229573485</v>
      </c>
      <c r="M78">
        <f t="shared" si="6"/>
        <v>4.3235097704265167E-2</v>
      </c>
      <c r="N78">
        <f t="shared" si="7"/>
        <v>0.1986844068678289</v>
      </c>
      <c r="O78">
        <f t="shared" si="14"/>
        <v>0.45097307135123221</v>
      </c>
      <c r="P78" s="31">
        <f t="shared" si="9"/>
        <v>0.1986844068678289</v>
      </c>
    </row>
    <row r="79" spans="2:16" x14ac:dyDescent="0.3">
      <c r="B79" s="29">
        <v>11.75</v>
      </c>
      <c r="C79" s="29">
        <f t="shared" si="17"/>
        <v>0.2996875</v>
      </c>
      <c r="D79" s="1">
        <f t="shared" si="17"/>
        <v>3.0402499999999999E-2</v>
      </c>
      <c r="E79" s="28">
        <f t="shared" si="17"/>
        <v>4.1520000000000015E-2</v>
      </c>
      <c r="F79">
        <f t="shared" si="0"/>
        <v>2.9949502607244927E-2</v>
      </c>
      <c r="G79">
        <f t="shared" si="1"/>
        <v>0.70334577227664907</v>
      </c>
      <c r="H79" s="43">
        <f>calcCapValue($B$33:$B79, $E$33:$E79, $E79, C79, 0.25, $G$33:G79)</f>
        <v>7.2195383046503317E-2</v>
      </c>
      <c r="I79">
        <f t="shared" si="2"/>
        <v>1.8785186916199376E-3</v>
      </c>
      <c r="J79" s="29">
        <f t="shared" si="12"/>
        <v>1.7324429848200416</v>
      </c>
      <c r="K79">
        <f t="shared" si="13"/>
        <v>-1.7324429848200416</v>
      </c>
      <c r="L79">
        <f t="shared" si="5"/>
        <v>0.9584026398850426</v>
      </c>
      <c r="M79">
        <f t="shared" si="6"/>
        <v>4.1597360114957363E-2</v>
      </c>
      <c r="N79">
        <f t="shared" si="7"/>
        <v>0.19154265942462204</v>
      </c>
      <c r="O79">
        <f t="shared" si="14"/>
        <v>0.44549775395773283</v>
      </c>
      <c r="P79" s="31">
        <f t="shared" si="9"/>
        <v>0.19154265942462204</v>
      </c>
    </row>
    <row r="80" spans="2:16" x14ac:dyDescent="0.3">
      <c r="B80" s="47">
        <v>12</v>
      </c>
      <c r="C80" s="47">
        <f>$M$4</f>
        <v>0.29599999999999999</v>
      </c>
      <c r="D80" s="48">
        <f>$M$3</f>
        <v>3.065E-2</v>
      </c>
      <c r="E80" s="49">
        <f>$M$5</f>
        <v>4.1540000000000021E-2</v>
      </c>
      <c r="F80" s="46">
        <f t="shared" si="0"/>
        <v>3.0189671163057673E-2</v>
      </c>
      <c r="G80" s="46">
        <f t="shared" si="1"/>
        <v>0.69609018286708513</v>
      </c>
      <c r="H80" s="45">
        <f>calcCapValue($B$33:$B80, $E$33:$E80, $E80, C80, 0.25, $G$33:G80)</f>
        <v>7.4006539834795382E-2</v>
      </c>
      <c r="I80" s="46">
        <f t="shared" si="2"/>
        <v>1.8111567882920648E-3</v>
      </c>
      <c r="J80" s="47">
        <f t="shared" si="12"/>
        <v>1.7503798979747345</v>
      </c>
      <c r="K80" s="46">
        <f t="shared" si="13"/>
        <v>-1.7503798979747345</v>
      </c>
      <c r="L80" s="46">
        <f t="shared" si="5"/>
        <v>0.9599736088212103</v>
      </c>
      <c r="M80" s="46">
        <f t="shared" si="6"/>
        <v>4.0026391178789672E-2</v>
      </c>
      <c r="N80" s="46">
        <f t="shared" si="7"/>
        <v>0.18438082693575203</v>
      </c>
      <c r="O80" s="46">
        <f t="shared" si="14"/>
        <v>0.43984640304783407</v>
      </c>
      <c r="P80" s="31">
        <f t="shared" si="9"/>
        <v>0.18438082693575203</v>
      </c>
    </row>
    <row r="81" spans="2:16" x14ac:dyDescent="0.3">
      <c r="B81" s="29">
        <v>12.25</v>
      </c>
      <c r="C81" s="29">
        <f>C$80+(($B81-$B$80)*((C$92-C$80)/($B$92-$B$80)))</f>
        <v>0.294375</v>
      </c>
      <c r="D81" s="1">
        <f>D$80+(($B81-$B$80)*((D$92-D$80)/($B$92-$B$80)))</f>
        <v>3.0826666666666665E-2</v>
      </c>
      <c r="E81" s="28">
        <f>E$80+(($B81-$B$80)*((E$92-E$80)/($B$92-$B$80)))</f>
        <v>4.1515833333333349E-2</v>
      </c>
      <c r="F81">
        <f t="shared" si="0"/>
        <v>3.0361069335984515E-2</v>
      </c>
      <c r="G81">
        <f t="shared" si="1"/>
        <v>0.68940725634102584</v>
      </c>
      <c r="H81" s="43">
        <f>calcCapValue($B$33:$B81, $E$33:$E81, $E81, C81, 0.25, $G$33:G81)</f>
        <v>7.6424030788988059E-2</v>
      </c>
      <c r="I81">
        <f t="shared" si="2"/>
        <v>2.4174909541926776E-3</v>
      </c>
      <c r="J81" s="29">
        <f t="shared" si="12"/>
        <v>1.7681351993932288</v>
      </c>
      <c r="K81">
        <f t="shared" si="13"/>
        <v>-1.7681351993932288</v>
      </c>
      <c r="L81">
        <f t="shared" si="5"/>
        <v>0.96148084792052124</v>
      </c>
      <c r="M81">
        <f t="shared" si="6"/>
        <v>3.8519152079478813E-2</v>
      </c>
      <c r="N81">
        <f t="shared" si="7"/>
        <v>0.24969081744870497</v>
      </c>
      <c r="O81">
        <f t="shared" si="14"/>
        <v>0.43295345263435264</v>
      </c>
      <c r="P81" s="31">
        <f t="shared" si="9"/>
        <v>0.24969081744870497</v>
      </c>
    </row>
    <row r="82" spans="2:16" x14ac:dyDescent="0.3">
      <c r="B82" s="29">
        <v>12.5</v>
      </c>
      <c r="C82" s="29">
        <f t="shared" ref="C82:E91" si="18">C$80+(($B82-$B$80)*((C$92-C$80)/($B$92-$B$80)))</f>
        <v>0.29275000000000001</v>
      </c>
      <c r="D82" s="1">
        <f t="shared" si="18"/>
        <v>3.1003333333333334E-2</v>
      </c>
      <c r="E82" s="28">
        <f t="shared" si="18"/>
        <v>4.1491666666666684E-2</v>
      </c>
      <c r="F82">
        <f t="shared" si="0"/>
        <v>3.0532438136612175E-2</v>
      </c>
      <c r="G82">
        <f t="shared" si="1"/>
        <v>0.68273022915760195</v>
      </c>
      <c r="H82" s="43">
        <f>calcCapValue($B$33:$B82, $E$33:$E82, $E82, C82, 0.25, $G$33:G82)</f>
        <v>7.881131137450563E-2</v>
      </c>
      <c r="I82">
        <f t="shared" si="2"/>
        <v>2.3872805855175705E-3</v>
      </c>
      <c r="J82" s="29">
        <f t="shared" si="12"/>
        <v>1.7857142857142858</v>
      </c>
      <c r="K82">
        <f t="shared" si="13"/>
        <v>-1.7857142857142858</v>
      </c>
      <c r="L82">
        <f t="shared" si="5"/>
        <v>0.96292723444429662</v>
      </c>
      <c r="M82">
        <f t="shared" si="6"/>
        <v>3.7072765555703414E-2</v>
      </c>
      <c r="N82">
        <f t="shared" si="7"/>
        <v>0.24658635471475576</v>
      </c>
      <c r="O82">
        <f t="shared" si="14"/>
        <v>0.42679297863792615</v>
      </c>
      <c r="P82" s="31">
        <f t="shared" si="9"/>
        <v>0.24658635471475576</v>
      </c>
    </row>
    <row r="83" spans="2:16" x14ac:dyDescent="0.3">
      <c r="B83" s="29">
        <v>12.75</v>
      </c>
      <c r="C83" s="29">
        <f t="shared" si="18"/>
        <v>0.29112499999999997</v>
      </c>
      <c r="D83" s="1">
        <f t="shared" si="18"/>
        <v>3.1179999999999999E-2</v>
      </c>
      <c r="E83" s="28">
        <f t="shared" si="18"/>
        <v>4.1467500000000011E-2</v>
      </c>
      <c r="F83">
        <f t="shared" si="0"/>
        <v>3.0703777575005708E-2</v>
      </c>
      <c r="G83">
        <f t="shared" si="1"/>
        <v>0.67606019294762265</v>
      </c>
      <c r="H83" s="43">
        <f>calcCapValue($B$33:$B83, $E$33:$E83, $E83, C83, 0.25, $G$33:G83)</f>
        <v>8.1167649638774542E-2</v>
      </c>
      <c r="I83">
        <f t="shared" si="2"/>
        <v>2.3563382642689118E-3</v>
      </c>
      <c r="J83" s="29">
        <f t="shared" si="12"/>
        <v>1.803122292025696</v>
      </c>
      <c r="K83">
        <f t="shared" si="13"/>
        <v>-1.803122292025696</v>
      </c>
      <c r="L83">
        <f t="shared" si="5"/>
        <v>0.96431549453798937</v>
      </c>
      <c r="M83">
        <f t="shared" si="6"/>
        <v>3.5684505462010678E-2</v>
      </c>
      <c r="N83">
        <f t="shared" si="7"/>
        <v>0.24346947593295146</v>
      </c>
      <c r="O83">
        <f t="shared" si="14"/>
        <v>0.42053526350835169</v>
      </c>
      <c r="P83" s="31">
        <f t="shared" si="9"/>
        <v>0.24346947593295146</v>
      </c>
    </row>
    <row r="84" spans="2:16" x14ac:dyDescent="0.3">
      <c r="B84" s="29">
        <v>13</v>
      </c>
      <c r="C84" s="29">
        <f t="shared" si="18"/>
        <v>0.28949999999999998</v>
      </c>
      <c r="D84" s="1">
        <f t="shared" si="18"/>
        <v>3.1356666666666665E-2</v>
      </c>
      <c r="E84" s="28">
        <f t="shared" si="18"/>
        <v>4.1443333333333346E-2</v>
      </c>
      <c r="F84">
        <f t="shared" si="0"/>
        <v>3.0875087661225202E-2</v>
      </c>
      <c r="G84">
        <f t="shared" si="1"/>
        <v>0.66939822650000269</v>
      </c>
      <c r="H84" s="43">
        <f>calcCapValue($B$33:$B84, $E$33:$E84, $E84, C84, 0.25, $G$33:G84)</f>
        <v>8.349235251791387E-2</v>
      </c>
      <c r="I84">
        <f t="shared" si="2"/>
        <v>2.3247028791393287E-3</v>
      </c>
      <c r="J84" s="29">
        <f t="shared" si="12"/>
        <v>1.8203641092364125</v>
      </c>
      <c r="K84">
        <f t="shared" si="13"/>
        <v>-1.8203641092364125</v>
      </c>
      <c r="L84">
        <f t="shared" si="5"/>
        <v>0.96564821283856084</v>
      </c>
      <c r="M84">
        <f t="shared" si="6"/>
        <v>3.4351787161439121E-2</v>
      </c>
      <c r="N84">
        <f t="shared" si="7"/>
        <v>0.24033991926308554</v>
      </c>
      <c r="O84">
        <f t="shared" si="14"/>
        <v>0.41419279373829326</v>
      </c>
      <c r="P84" s="31">
        <f t="shared" si="9"/>
        <v>0.24033991926308554</v>
      </c>
    </row>
    <row r="85" spans="2:16" x14ac:dyDescent="0.3">
      <c r="B85" s="29">
        <v>13.25</v>
      </c>
      <c r="C85" s="29">
        <f t="shared" si="18"/>
        <v>0.28787499999999999</v>
      </c>
      <c r="D85" s="1">
        <f t="shared" si="18"/>
        <v>3.1533333333333337E-2</v>
      </c>
      <c r="E85" s="28">
        <f t="shared" si="18"/>
        <v>4.1419166666666674E-2</v>
      </c>
      <c r="F85">
        <f t="shared" si="0"/>
        <v>3.1046368405325587E-2</v>
      </c>
      <c r="G85">
        <f t="shared" si="1"/>
        <v>0.66274539552222078</v>
      </c>
      <c r="H85" s="43">
        <f>calcCapValue($B$33:$B85, $E$33:$E85, $E85, C85, 0.25, $G$33:G85)</f>
        <v>8.5784764465692651E-2</v>
      </c>
      <c r="I85">
        <f t="shared" si="2"/>
        <v>2.2924119477787802E-3</v>
      </c>
      <c r="J85" s="29">
        <f t="shared" si="12"/>
        <v>1.8374443999960715</v>
      </c>
      <c r="K85">
        <f t="shared" si="13"/>
        <v>-1.8374443999960715</v>
      </c>
      <c r="L85">
        <f t="shared" si="5"/>
        <v>0.9669278413306005</v>
      </c>
      <c r="M85">
        <f t="shared" si="6"/>
        <v>3.307215866939945E-2</v>
      </c>
      <c r="N85">
        <f t="shared" si="7"/>
        <v>0.23719742037144706</v>
      </c>
      <c r="O85">
        <f t="shared" si="14"/>
        <v>0.40777739402814656</v>
      </c>
      <c r="P85" s="31">
        <f t="shared" si="9"/>
        <v>0.23719742037144706</v>
      </c>
    </row>
    <row r="86" spans="2:16" x14ac:dyDescent="0.3">
      <c r="B86" s="29">
        <v>13.5</v>
      </c>
      <c r="C86" s="29">
        <f t="shared" si="18"/>
        <v>0.28625</v>
      </c>
      <c r="D86" s="1">
        <f t="shared" si="18"/>
        <v>3.1710000000000002E-2</v>
      </c>
      <c r="E86" s="28">
        <f t="shared" si="18"/>
        <v>4.1395000000000001E-2</v>
      </c>
      <c r="F86">
        <f t="shared" si="0"/>
        <v>3.1217619817356403E-2</v>
      </c>
      <c r="G86">
        <f t="shared" si="1"/>
        <v>0.65610275240891092</v>
      </c>
      <c r="H86" s="43">
        <f>calcCapValue($B$33:$B86, $E$33:$E86, $E86, C86, 0.25, $G$33:G86)</f>
        <v>8.8044266152407444E-2</v>
      </c>
      <c r="I86">
        <f t="shared" si="2"/>
        <v>2.2595016867147932E-3</v>
      </c>
      <c r="J86" s="29">
        <f t="shared" si="12"/>
        <v>1.8543676133073019</v>
      </c>
      <c r="K86">
        <f t="shared" si="13"/>
        <v>-1.8543676133073019</v>
      </c>
      <c r="L86">
        <f t="shared" si="5"/>
        <v>0.9681567075224744</v>
      </c>
      <c r="M86">
        <f t="shared" si="6"/>
        <v>3.1843292477525549E-2</v>
      </c>
      <c r="N86">
        <f t="shared" si="7"/>
        <v>0.23404171188471359</v>
      </c>
      <c r="O86">
        <f t="shared" si="14"/>
        <v>0.40130025596823793</v>
      </c>
      <c r="P86" s="31">
        <f t="shared" si="9"/>
        <v>0.23404171188471359</v>
      </c>
    </row>
    <row r="87" spans="2:16" x14ac:dyDescent="0.3">
      <c r="B87" s="29">
        <v>13.75</v>
      </c>
      <c r="C87" s="29">
        <f t="shared" si="18"/>
        <v>0.28462500000000002</v>
      </c>
      <c r="D87" s="1">
        <f t="shared" si="18"/>
        <v>3.1886666666666667E-2</v>
      </c>
      <c r="E87" s="28">
        <f t="shared" si="18"/>
        <v>4.1370833333333336E-2</v>
      </c>
      <c r="F87">
        <f t="shared" si="0"/>
        <v>3.1388841907362679E-2</v>
      </c>
      <c r="G87">
        <f t="shared" si="1"/>
        <v>0.64947133601861073</v>
      </c>
      <c r="H87" s="43">
        <f>calcCapValue($B$33:$B87, $E$33:$E87, $E87, C87, 0.25, $G$33:G87)</f>
        <v>9.0270273228201872E-2</v>
      </c>
      <c r="I87">
        <f t="shared" si="2"/>
        <v>2.2260070757944284E-3</v>
      </c>
      <c r="J87" s="29">
        <f t="shared" si="12"/>
        <v>1.8711379979593721</v>
      </c>
      <c r="K87">
        <f t="shared" si="13"/>
        <v>-1.8711379979593721</v>
      </c>
      <c r="L87">
        <f t="shared" si="5"/>
        <v>0.96933702200581784</v>
      </c>
      <c r="M87">
        <f t="shared" si="6"/>
        <v>3.066297799418214E-2</v>
      </c>
      <c r="N87">
        <f t="shared" si="7"/>
        <v>0.23087252287176421</v>
      </c>
      <c r="O87">
        <f t="shared" si="14"/>
        <v>0.39477196552856841</v>
      </c>
      <c r="P87" s="31">
        <f t="shared" si="9"/>
        <v>0.23087252287176421</v>
      </c>
    </row>
    <row r="88" spans="2:16" x14ac:dyDescent="0.3">
      <c r="B88" s="29">
        <v>14</v>
      </c>
      <c r="C88" s="29">
        <f t="shared" si="18"/>
        <v>0.28300000000000003</v>
      </c>
      <c r="D88" s="1">
        <f t="shared" si="18"/>
        <v>3.2063333333333333E-2</v>
      </c>
      <c r="E88" s="28">
        <f t="shared" si="18"/>
        <v>4.1346666666666664E-2</v>
      </c>
      <c r="F88">
        <f t="shared" si="0"/>
        <v>3.1560034685383639E-2</v>
      </c>
      <c r="G88">
        <f t="shared" si="1"/>
        <v>0.64285217145872375</v>
      </c>
      <c r="H88" s="43">
        <f>calcCapValue($B$33:$B88, $E$33:$E88, $E88, C88, 0.25, $G$33:G88)</f>
        <v>9.2462235138332752E-2</v>
      </c>
      <c r="I88">
        <f t="shared" si="2"/>
        <v>2.1919619101308796E-3</v>
      </c>
      <c r="J88" s="29">
        <f t="shared" si="12"/>
        <v>1.8877596148970779</v>
      </c>
      <c r="K88">
        <f t="shared" si="13"/>
        <v>-1.8877596148970779</v>
      </c>
      <c r="L88">
        <f t="shared" si="5"/>
        <v>0.97047088545473159</v>
      </c>
      <c r="M88">
        <f t="shared" si="6"/>
        <v>2.9529114545268357E-2</v>
      </c>
      <c r="N88">
        <f t="shared" si="7"/>
        <v>0.22768957751543778</v>
      </c>
      <c r="O88">
        <f t="shared" si="14"/>
        <v>0.3882025294150247</v>
      </c>
      <c r="P88" s="31">
        <f t="shared" si="9"/>
        <v>0.22768957751543778</v>
      </c>
    </row>
    <row r="89" spans="2:16" x14ac:dyDescent="0.3">
      <c r="B89" s="29">
        <v>14.25</v>
      </c>
      <c r="C89" s="29">
        <f t="shared" si="18"/>
        <v>0.28137500000000004</v>
      </c>
      <c r="D89" s="1">
        <f t="shared" si="18"/>
        <v>3.2239999999999998E-2</v>
      </c>
      <c r="E89" s="28">
        <f t="shared" si="18"/>
        <v>4.1322499999999998E-2</v>
      </c>
      <c r="F89">
        <f t="shared" si="0"/>
        <v>3.1731198161453561E-2</v>
      </c>
      <c r="G89">
        <f t="shared" si="1"/>
        <v>0.63624626987867905</v>
      </c>
      <c r="H89" s="43">
        <f>calcCapValue($B$33:$B89, $E$33:$E89, $E89, C89, 0.25, $G$33:G89)</f>
        <v>9.4619634035615532E-2</v>
      </c>
      <c r="I89">
        <f t="shared" si="2"/>
        <v>2.1573988972827807E-3</v>
      </c>
      <c r="J89" s="29">
        <f t="shared" si="12"/>
        <v>1.9042363486260236</v>
      </c>
      <c r="K89">
        <f t="shared" si="13"/>
        <v>-1.9042363486260236</v>
      </c>
      <c r="L89">
        <f t="shared" si="5"/>
        <v>0.97156029511496589</v>
      </c>
      <c r="M89">
        <f t="shared" si="6"/>
        <v>2.8439704885034098E-2</v>
      </c>
      <c r="N89">
        <f t="shared" si="7"/>
        <v>0.22449259929124829</v>
      </c>
      <c r="O89">
        <f t="shared" si="14"/>
        <v>0.38160140026839984</v>
      </c>
      <c r="P89" s="31">
        <f t="shared" si="9"/>
        <v>0.22449259929124829</v>
      </c>
    </row>
    <row r="90" spans="2:16" x14ac:dyDescent="0.3">
      <c r="B90" s="29">
        <v>14.5</v>
      </c>
      <c r="C90" s="29">
        <f t="shared" si="18"/>
        <v>0.27975</v>
      </c>
      <c r="D90" s="1">
        <f t="shared" si="18"/>
        <v>3.241666666666667E-2</v>
      </c>
      <c r="E90" s="28">
        <f t="shared" si="18"/>
        <v>4.1298333333333326E-2</v>
      </c>
      <c r="F90">
        <f t="shared" si="0"/>
        <v>3.1902332345601574E-2</v>
      </c>
      <c r="G90">
        <f t="shared" si="1"/>
        <v>0.62965462827133545</v>
      </c>
      <c r="H90" s="43">
        <f>calcCapValue($B$33:$B90, $E$33:$E90, $E90, C90, 0.25, $G$33:G90)</f>
        <v>9.6741983657893826E-2</v>
      </c>
      <c r="I90">
        <f t="shared" si="2"/>
        <v>2.1223496222782939E-3</v>
      </c>
      <c r="J90" s="29">
        <f t="shared" si="12"/>
        <v>1.9205719177443132</v>
      </c>
      <c r="K90">
        <f t="shared" si="13"/>
        <v>-1.9205719177443132</v>
      </c>
      <c r="L90">
        <f t="shared" si="5"/>
        <v>0.97260715082804838</v>
      </c>
      <c r="M90">
        <f t="shared" si="6"/>
        <v>2.7392849171951599E-2</v>
      </c>
      <c r="N90">
        <f t="shared" si="7"/>
        <v>0.22128130102023977</v>
      </c>
      <c r="O90">
        <f t="shared" si="14"/>
        <v>0.37497750097366273</v>
      </c>
      <c r="P90" s="31">
        <f t="shared" si="9"/>
        <v>0.22128130102023977</v>
      </c>
    </row>
    <row r="91" spans="2:16" x14ac:dyDescent="0.3">
      <c r="B91" s="29">
        <v>14.75</v>
      </c>
      <c r="C91" s="29">
        <f t="shared" si="18"/>
        <v>0.27812500000000001</v>
      </c>
      <c r="D91" s="1">
        <f t="shared" si="18"/>
        <v>3.2593333333333335E-2</v>
      </c>
      <c r="E91" s="28">
        <f t="shared" si="18"/>
        <v>4.127416666666666E-2</v>
      </c>
      <c r="F91">
        <f t="shared" si="0"/>
        <v>3.2073437247851458E-2</v>
      </c>
      <c r="G91">
        <f t="shared" si="1"/>
        <v>0.62307822928263146</v>
      </c>
      <c r="H91" s="43">
        <f>calcCapValue($B$33:$B91, $E$33:$E91, $E91, C91, 0.25, $G$33:G91)</f>
        <v>9.8828828333164781E-2</v>
      </c>
      <c r="I91">
        <f t="shared" si="2"/>
        <v>2.0868446752709546E-3</v>
      </c>
      <c r="J91" s="29">
        <f t="shared" si="12"/>
        <v>1.9367698846809078</v>
      </c>
      <c r="K91">
        <f t="shared" si="13"/>
        <v>-1.9367698846809078</v>
      </c>
      <c r="L91">
        <f t="shared" si="5"/>
        <v>0.97361326063063602</v>
      </c>
      <c r="M91">
        <f t="shared" si="6"/>
        <v>2.6386739369363942E-2</v>
      </c>
      <c r="N91">
        <f t="shared" si="7"/>
        <v>0.21805539329114321</v>
      </c>
      <c r="O91">
        <f t="shared" si="14"/>
        <v>0.36833924775658144</v>
      </c>
      <c r="P91" s="31">
        <f t="shared" si="9"/>
        <v>0.21805539329114321</v>
      </c>
    </row>
    <row r="92" spans="2:16" x14ac:dyDescent="0.3">
      <c r="B92" s="47">
        <v>15</v>
      </c>
      <c r="C92" s="47">
        <f>$N$4</f>
        <v>0.27650000000000002</v>
      </c>
      <c r="D92" s="48">
        <f>$N$3</f>
        <v>3.2770000000000001E-2</v>
      </c>
      <c r="E92" s="49">
        <f>$N$5</f>
        <v>4.1249999999999988E-2</v>
      </c>
      <c r="F92" s="46">
        <f t="shared" si="0"/>
        <v>3.224451287822247E-2</v>
      </c>
      <c r="G92" s="46">
        <f t="shared" si="1"/>
        <v>0.61651804102948116</v>
      </c>
      <c r="H92" s="45">
        <f>calcCapValue($B$33:$B92, $E$33:$E92, $E92, C92, 0.25, $G$33:G92)</f>
        <v>0.10087974199475169</v>
      </c>
      <c r="I92" s="46">
        <f t="shared" si="2"/>
        <v>2.0509136615869117E-3</v>
      </c>
      <c r="J92" s="47">
        <f t="shared" si="12"/>
        <v>1.9528336647123583</v>
      </c>
      <c r="K92" s="46">
        <f t="shared" si="13"/>
        <v>-1.9528336647123583</v>
      </c>
      <c r="L92" s="46">
        <f t="shared" si="5"/>
        <v>0.97458034596524912</v>
      </c>
      <c r="M92" s="46">
        <f t="shared" si="6"/>
        <v>2.5419654034750848E-2</v>
      </c>
      <c r="N92" s="46">
        <f t="shared" si="7"/>
        <v>0.21481458028107447</v>
      </c>
      <c r="O92" s="46">
        <f t="shared" si="14"/>
        <v>0.36169457246019016</v>
      </c>
      <c r="P92" s="31">
        <f t="shared" si="9"/>
        <v>0.21481458028107447</v>
      </c>
    </row>
    <row r="93" spans="2:16" x14ac:dyDescent="0.3">
      <c r="B93" s="29">
        <v>15.25</v>
      </c>
      <c r="C93" s="29">
        <f>C$92+(($B93-$B$92)*((C$112-C$92)/($B$112-$B$92)))</f>
        <v>0.27487500000000004</v>
      </c>
      <c r="D93" s="1">
        <f>D$92+(($B93-$B$92)*((D$112-D$92)/($B$112-$B$92)))</f>
        <v>3.2857499999999998E-2</v>
      </c>
      <c r="E93" s="28">
        <f>E$92+(($B93-$B$92)*((E$112-E$92)/($B$112-$B$92)))</f>
        <v>4.117599999999999E-2</v>
      </c>
      <c r="F93">
        <f t="shared" si="0"/>
        <v>3.2329232896766327E-2</v>
      </c>
      <c r="G93">
        <f t="shared" si="1"/>
        <v>0.6107785637161397</v>
      </c>
      <c r="H93" s="43">
        <f>calcCapValue($B$33:$B93, $E$33:$E93, $E93, C93, 0.25, $G$33:G93)</f>
        <v>0.1030280699544692</v>
      </c>
      <c r="I93">
        <f t="shared" si="2"/>
        <v>2.1483279597175053E-3</v>
      </c>
      <c r="J93" s="29">
        <f t="shared" si="12"/>
        <v>1.9687665343221035</v>
      </c>
      <c r="K93">
        <f t="shared" si="13"/>
        <v>-1.9687665343221035</v>
      </c>
      <c r="L93">
        <f t="shared" si="5"/>
        <v>0.97551004653491225</v>
      </c>
      <c r="M93">
        <f t="shared" si="6"/>
        <v>2.4489953465087755E-2</v>
      </c>
      <c r="N93">
        <f t="shared" si="7"/>
        <v>0.22649628606492409</v>
      </c>
      <c r="O93">
        <f t="shared" si="14"/>
        <v>0.35496777544852409</v>
      </c>
      <c r="P93" s="31">
        <f t="shared" si="9"/>
        <v>0.22649628606492409</v>
      </c>
    </row>
    <row r="94" spans="2:16" x14ac:dyDescent="0.3">
      <c r="B94" s="29">
        <v>15.5</v>
      </c>
      <c r="C94" s="29">
        <f t="shared" ref="C94:E110" si="19">C$92+(($B94-$B$92)*((C$112-C$92)/($B$112-$B$92)))</f>
        <v>0.27324999999999999</v>
      </c>
      <c r="D94" s="1">
        <f t="shared" si="19"/>
        <v>3.2945000000000002E-2</v>
      </c>
      <c r="E94" s="28">
        <f t="shared" si="19"/>
        <v>4.1101999999999993E-2</v>
      </c>
      <c r="F94">
        <f t="shared" si="0"/>
        <v>3.2413945738436666E-2</v>
      </c>
      <c r="G94">
        <f t="shared" si="1"/>
        <v>0.60506695421791967</v>
      </c>
      <c r="H94" s="43">
        <f>calcCapValue($B$33:$B94, $E$33:$E94, $E94, C94, 0.25, $G$33:G94)</f>
        <v>0.10514326859485612</v>
      </c>
      <c r="I94">
        <f t="shared" si="2"/>
        <v>2.1151986403869227E-3</v>
      </c>
      <c r="J94" s="29">
        <f t="shared" si="12"/>
        <v>1.9845716389598875</v>
      </c>
      <c r="K94">
        <f t="shared" si="13"/>
        <v>-1.9845716389598875</v>
      </c>
      <c r="L94">
        <f t="shared" si="5"/>
        <v>0.97640392483101102</v>
      </c>
      <c r="M94">
        <f t="shared" si="6"/>
        <v>2.3596075168988932E-2</v>
      </c>
      <c r="N94">
        <f t="shared" si="7"/>
        <v>0.2236221797146673</v>
      </c>
      <c r="O94">
        <f t="shared" si="14"/>
        <v>0.34843079182026132</v>
      </c>
      <c r="P94" s="31">
        <f t="shared" si="9"/>
        <v>0.2236221797146673</v>
      </c>
    </row>
    <row r="95" spans="2:16" x14ac:dyDescent="0.3">
      <c r="B95" s="29">
        <v>15.75</v>
      </c>
      <c r="C95" s="29">
        <f t="shared" si="19"/>
        <v>0.27162500000000001</v>
      </c>
      <c r="D95" s="1">
        <f t="shared" si="19"/>
        <v>3.3032499999999999E-2</v>
      </c>
      <c r="E95" s="28">
        <f t="shared" si="19"/>
        <v>4.1027999999999988E-2</v>
      </c>
      <c r="F95">
        <f t="shared" si="0"/>
        <v>3.2498651404449332E-2</v>
      </c>
      <c r="G95">
        <f t="shared" si="1"/>
        <v>0.59938343549789608</v>
      </c>
      <c r="H95" s="43">
        <f>calcCapValue($B$33:$B95, $E$33:$E95, $E95, C95, 0.25, $G$33:G95)</f>
        <v>0.10722509433716312</v>
      </c>
      <c r="I95">
        <f t="shared" si="2"/>
        <v>2.081825742307003E-3</v>
      </c>
      <c r="J95" s="29">
        <f t="shared" si="12"/>
        <v>2.0002520002530004</v>
      </c>
      <c r="K95">
        <f t="shared" si="13"/>
        <v>-2.0002520002530004</v>
      </c>
      <c r="L95">
        <f t="shared" si="5"/>
        <v>0.97726347036082462</v>
      </c>
      <c r="M95">
        <f t="shared" si="6"/>
        <v>2.2736529639175371E-2</v>
      </c>
      <c r="N95">
        <f t="shared" si="7"/>
        <v>0.22073928358300857</v>
      </c>
      <c r="O95">
        <f t="shared" si="14"/>
        <v>0.34193196784899216</v>
      </c>
      <c r="P95" s="31">
        <f t="shared" si="9"/>
        <v>0.22073928358300857</v>
      </c>
    </row>
    <row r="96" spans="2:16" x14ac:dyDescent="0.3">
      <c r="B96" s="29">
        <v>16</v>
      </c>
      <c r="C96" s="29">
        <f t="shared" si="19"/>
        <v>0.27</v>
      </c>
      <c r="D96" s="1">
        <f t="shared" si="19"/>
        <v>3.3120000000000004E-2</v>
      </c>
      <c r="E96" s="28">
        <f t="shared" si="19"/>
        <v>4.095399999999999E-2</v>
      </c>
      <c r="F96">
        <f t="shared" si="0"/>
        <v>3.2583349896019846E-2</v>
      </c>
      <c r="G96">
        <f t="shared" si="1"/>
        <v>0.59372822479437715</v>
      </c>
      <c r="H96" s="43">
        <f>calcCapValue($B$33:$B96, $E$33:$E96, $E96, C96, 0.25, $G$33:G96)</f>
        <v>0.10927332669809978</v>
      </c>
      <c r="I96">
        <f t="shared" si="2"/>
        <v>2.0482323609366526E-3</v>
      </c>
      <c r="J96" s="29">
        <f t="shared" si="12"/>
        <v>2.0158105227158787</v>
      </c>
      <c r="K96">
        <f t="shared" si="13"/>
        <v>-2.0158105227158787</v>
      </c>
      <c r="L96">
        <f t="shared" si="5"/>
        <v>0.97809010359866255</v>
      </c>
      <c r="M96">
        <f t="shared" si="6"/>
        <v>2.1909896401337402E-2</v>
      </c>
      <c r="N96">
        <f t="shared" si="7"/>
        <v>0.21784759226089745</v>
      </c>
      <c r="O96">
        <f t="shared" si="14"/>
        <v>0.33547594864572267</v>
      </c>
      <c r="P96" s="31">
        <f t="shared" si="9"/>
        <v>0.21784759226089745</v>
      </c>
    </row>
    <row r="97" spans="2:16" x14ac:dyDescent="0.3">
      <c r="B97" s="29">
        <v>16.25</v>
      </c>
      <c r="C97" s="29">
        <f t="shared" si="19"/>
        <v>0.26837500000000003</v>
      </c>
      <c r="D97" s="1">
        <f t="shared" si="19"/>
        <v>3.3207500000000001E-2</v>
      </c>
      <c r="E97" s="28">
        <f t="shared" si="19"/>
        <v>4.0879999999999993E-2</v>
      </c>
      <c r="F97">
        <f t="shared" si="0"/>
        <v>3.2668041214363445E-2</v>
      </c>
      <c r="G97">
        <f t="shared" si="1"/>
        <v>0.58810153363907658</v>
      </c>
      <c r="H97" s="43">
        <f>calcCapValue($B$33:$B97, $E$33:$E97, $E97, C97, 0.25, $G$33:G97)</f>
        <v>0.11128776744004659</v>
      </c>
      <c r="I97">
        <f t="shared" si="2"/>
        <v>2.0144407419468158E-3</v>
      </c>
      <c r="J97" s="29">
        <f t="shared" si="12"/>
        <v>2.03125</v>
      </c>
      <c r="K97">
        <f t="shared" si="13"/>
        <v>-2.03125</v>
      </c>
      <c r="L97">
        <f t="shared" si="5"/>
        <v>0.97888517968228472</v>
      </c>
      <c r="M97">
        <f t="shared" si="6"/>
        <v>2.1114820317715284E-2</v>
      </c>
      <c r="N97">
        <f t="shared" si="7"/>
        <v>0.2149470977066327</v>
      </c>
      <c r="O97">
        <f t="shared" si="14"/>
        <v>0.32906701797189247</v>
      </c>
      <c r="P97" s="31">
        <f t="shared" si="9"/>
        <v>0.2149470977066327</v>
      </c>
    </row>
    <row r="98" spans="2:16" x14ac:dyDescent="0.3">
      <c r="B98" s="29">
        <v>16.5</v>
      </c>
      <c r="C98" s="29">
        <f t="shared" si="19"/>
        <v>0.26675000000000004</v>
      </c>
      <c r="D98" s="1">
        <f t="shared" si="19"/>
        <v>3.3294999999999998E-2</v>
      </c>
      <c r="E98" s="28">
        <f t="shared" si="19"/>
        <v>4.0805999999999995E-2</v>
      </c>
      <c r="F98">
        <f t="shared" ref="F98:F153" si="20">LN(1+(D98))</f>
        <v>3.2752725360695047E-2</v>
      </c>
      <c r="G98">
        <f t="shared" ref="G98:G153" si="21">EXP(-F98*(B98))</f>
        <v>0.58250356787632551</v>
      </c>
      <c r="H98" s="43">
        <f>calcCapValue($B$33:$B98, $E$33:$E98, $E98, C98, 0.25, $G$33:G98)</f>
        <v>0.11326823975927489</v>
      </c>
      <c r="I98">
        <f t="shared" si="2"/>
        <v>1.9804723192282936E-3</v>
      </c>
      <c r="J98" s="29">
        <f t="shared" si="12"/>
        <v>2.0465731207219395</v>
      </c>
      <c r="K98">
        <f t="shared" si="13"/>
        <v>-2.0465731207219395</v>
      </c>
      <c r="L98">
        <f t="shared" si="5"/>
        <v>0.97964999187427271</v>
      </c>
      <c r="M98">
        <f t="shared" si="6"/>
        <v>2.035000812572731E-2</v>
      </c>
      <c r="N98">
        <f t="shared" si="7"/>
        <v>0.21203778929633368</v>
      </c>
      <c r="O98">
        <f t="shared" si="14"/>
        <v>0.32270911869978797</v>
      </c>
      <c r="P98" s="31">
        <f t="shared" si="9"/>
        <v>0.21203778929633368</v>
      </c>
    </row>
    <row r="99" spans="2:16" x14ac:dyDescent="0.3">
      <c r="B99" s="29">
        <v>16.75</v>
      </c>
      <c r="C99" s="29">
        <f t="shared" si="19"/>
        <v>0.265125</v>
      </c>
      <c r="D99" s="1">
        <f t="shared" si="19"/>
        <v>3.3382500000000002E-2</v>
      </c>
      <c r="E99" s="28">
        <f t="shared" si="19"/>
        <v>4.0731999999999997E-2</v>
      </c>
      <c r="F99">
        <f t="shared" si="20"/>
        <v>3.2837402336229261E-2</v>
      </c>
      <c r="G99">
        <f t="shared" si="21"/>
        <v>0.576934527683308</v>
      </c>
      <c r="H99" s="43">
        <f>calcCapValue($B$33:$B99, $E$33:$E99, $E99, C99, 0.25, $G$33:G99)</f>
        <v>0.11521458750994841</v>
      </c>
      <c r="I99">
        <f t="shared" si="2"/>
        <v>1.9463477506735244E-3</v>
      </c>
      <c r="J99" s="29">
        <f t="shared" si="12"/>
        <v>2.0617824739038233</v>
      </c>
      <c r="K99">
        <f t="shared" si="13"/>
        <v>-2.0617824739038233</v>
      </c>
      <c r="L99">
        <f t="shared" si="5"/>
        <v>0.98038577480623057</v>
      </c>
      <c r="M99">
        <f t="shared" si="6"/>
        <v>1.961422519376942E-2</v>
      </c>
      <c r="N99">
        <f t="shared" si="7"/>
        <v>0.20911965387283218</v>
      </c>
      <c r="O99">
        <f t="shared" si="14"/>
        <v>0.31640587218458793</v>
      </c>
      <c r="P99" s="31">
        <f t="shared" si="9"/>
        <v>0.20911965387283218</v>
      </c>
    </row>
    <row r="100" spans="2:16" x14ac:dyDescent="0.3">
      <c r="B100" s="29">
        <v>17</v>
      </c>
      <c r="C100" s="29">
        <f t="shared" si="19"/>
        <v>0.26350000000000001</v>
      </c>
      <c r="D100" s="1">
        <f t="shared" si="19"/>
        <v>3.347E-2</v>
      </c>
      <c r="E100" s="28">
        <f t="shared" si="19"/>
        <v>4.0657999999999993E-2</v>
      </c>
      <c r="F100">
        <f t="shared" si="20"/>
        <v>3.292207214218016E-2</v>
      </c>
      <c r="G100">
        <f t="shared" si="21"/>
        <v>0.57139460759130944</v>
      </c>
      <c r="H100" s="43">
        <f>calcCapValue($B$33:$B100, $E$33:$E100, $E100, C100, 0.25, $G$33:G100)</f>
        <v>0.1171266744618524</v>
      </c>
      <c r="I100">
        <f t="shared" si="2"/>
        <v>1.9120869519039935E-3</v>
      </c>
      <c r="J100" s="29">
        <f t="shared" si="12"/>
        <v>2.0768805540571886</v>
      </c>
      <c r="K100">
        <f t="shared" si="13"/>
        <v>-2.0768805540571886</v>
      </c>
      <c r="L100">
        <f t="shared" si="5"/>
        <v>0.98109370752208613</v>
      </c>
      <c r="M100">
        <f t="shared" si="6"/>
        <v>1.8906292477913839E-2</v>
      </c>
      <c r="N100">
        <f t="shared" si="7"/>
        <v>0.20619267579370898</v>
      </c>
      <c r="O100">
        <f t="shared" si="14"/>
        <v>0.3101605966058803</v>
      </c>
      <c r="P100" s="31">
        <f t="shared" si="9"/>
        <v>0.20619267579370898</v>
      </c>
    </row>
    <row r="101" spans="2:16" x14ac:dyDescent="0.3">
      <c r="B101" s="29">
        <v>17.25</v>
      </c>
      <c r="C101" s="29">
        <f t="shared" si="19"/>
        <v>0.26187500000000002</v>
      </c>
      <c r="D101" s="1">
        <f t="shared" si="19"/>
        <v>3.3557500000000004E-2</v>
      </c>
      <c r="E101" s="28">
        <f t="shared" si="19"/>
        <v>4.0583999999999995E-2</v>
      </c>
      <c r="F101">
        <f t="shared" si="20"/>
        <v>3.3006734779762181E-2</v>
      </c>
      <c r="G101">
        <f t="shared" si="21"/>
        <v>0.56588399650794596</v>
      </c>
      <c r="H101" s="43">
        <f>calcCapValue($B$33:$B101, $E$33:$E101, $E101, C101, 0.25, $G$33:G101)</f>
        <v>0.11900438358994776</v>
      </c>
      <c r="I101">
        <f t="shared" si="2"/>
        <v>1.8777091280953589E-3</v>
      </c>
      <c r="J101" s="29">
        <f t="shared" ref="J101:J132" si="22">((LOG(E101/(E101))+(N101^2)*(B101/2))/((N101^2)*SQRT(B101-0.25)))</f>
        <v>2.0918697659383718</v>
      </c>
      <c r="K101">
        <f t="shared" ref="K101:K132" si="23">((LOG(E101/(E101))-(N101^2)*(B101/2))/((N101^2)*SQRT(B101-0.25)))</f>
        <v>-2.0918697659383718</v>
      </c>
      <c r="L101">
        <f t="shared" si="5"/>
        <v>0.9817749163353261</v>
      </c>
      <c r="M101">
        <f t="shared" si="6"/>
        <v>1.8225083664673875E-2</v>
      </c>
      <c r="N101">
        <f t="shared" si="7"/>
        <v>0.20325683697868771</v>
      </c>
      <c r="O101">
        <f t="shared" ref="O101:O132" si="24">($I101-(G101*0.25*100*(E101*L101-(E101)*M101)))^2</f>
        <v>0.30397632433338317</v>
      </c>
      <c r="P101" s="31">
        <f t="shared" si="9"/>
        <v>0.20325683697868771</v>
      </c>
    </row>
    <row r="102" spans="2:16" x14ac:dyDescent="0.3">
      <c r="B102" s="29">
        <v>17.5</v>
      </c>
      <c r="C102" s="29">
        <f t="shared" si="19"/>
        <v>0.26024999999999998</v>
      </c>
      <c r="D102" s="1">
        <f t="shared" si="19"/>
        <v>3.3645000000000001E-2</v>
      </c>
      <c r="E102" s="28">
        <f t="shared" si="19"/>
        <v>4.0509999999999997E-2</v>
      </c>
      <c r="F102">
        <f t="shared" si="20"/>
        <v>3.3091390250188785E-2</v>
      </c>
      <c r="G102">
        <f t="shared" si="21"/>
        <v>0.56040287774039477</v>
      </c>
      <c r="H102" s="43">
        <f>calcCapValue($B$33:$B102, $E$33:$E102, $E102, C102, 0.25, $G$33:G102)</f>
        <v>0.12084761639399157</v>
      </c>
      <c r="I102">
        <f t="shared" ref="I102:I153" si="25">H102-H101</f>
        <v>1.843232804043804E-3</v>
      </c>
      <c r="J102" s="29">
        <f t="shared" si="22"/>
        <v>2.1067524290009607</v>
      </c>
      <c r="K102">
        <f t="shared" si="23"/>
        <v>-2.1067524290009607</v>
      </c>
      <c r="L102">
        <f t="shared" ref="L102:L153" si="26">_xlfn.NORM.DIST(J102,0,1,TRUE)</f>
        <v>0.98243047751370682</v>
      </c>
      <c r="M102">
        <f t="shared" ref="M102:M153" si="27">_xlfn.NORM.DIST(K102,0,1,TRUE)</f>
        <v>1.756952248629319E-2</v>
      </c>
      <c r="N102">
        <f t="shared" ref="N102:N153" si="28">ImplyCapletVolatility(B102, E102, E102, 0.25, G102, I102, C102)</f>
        <v>0.20031211695714085</v>
      </c>
      <c r="O102">
        <f t="shared" si="24"/>
        <v>0.29785581836872577</v>
      </c>
      <c r="P102" s="31">
        <f t="shared" ref="P102:P153" si="29">$N102</f>
        <v>0.20031211695714085</v>
      </c>
    </row>
    <row r="103" spans="2:16" x14ac:dyDescent="0.3">
      <c r="B103" s="29">
        <v>17.75</v>
      </c>
      <c r="C103" s="29">
        <f t="shared" si="19"/>
        <v>0.25862499999999999</v>
      </c>
      <c r="D103" s="1">
        <f t="shared" si="19"/>
        <v>3.3732499999999999E-2</v>
      </c>
      <c r="E103" s="28">
        <f t="shared" si="19"/>
        <v>4.0436E-2</v>
      </c>
      <c r="F103">
        <f t="shared" si="20"/>
        <v>3.3176038554673347E-2</v>
      </c>
      <c r="G103">
        <f t="shared" si="21"/>
        <v>0.55495142901956462</v>
      </c>
      <c r="H103" s="43">
        <f>calcCapValue($B$33:$B103, $E$33:$E103, $E103, C103, 0.25, $G$33:G103)</f>
        <v>0.12265629224659078</v>
      </c>
      <c r="I103">
        <f t="shared" si="25"/>
        <v>1.8086758525992092E-3</v>
      </c>
      <c r="J103" s="29">
        <f t="shared" si="22"/>
        <v>2.1215307815685489</v>
      </c>
      <c r="K103">
        <f t="shared" si="23"/>
        <v>-2.1215307815685489</v>
      </c>
      <c r="L103">
        <f t="shared" si="26"/>
        <v>0.98306141980382011</v>
      </c>
      <c r="M103">
        <f t="shared" si="27"/>
        <v>1.6938580196179852E-2</v>
      </c>
      <c r="N103">
        <f t="shared" si="28"/>
        <v>0.19735849291582744</v>
      </c>
      <c r="O103">
        <f t="shared" si="24"/>
        <v>0.29180158791229899</v>
      </c>
      <c r="P103" s="31">
        <f t="shared" si="29"/>
        <v>0.19735849291582744</v>
      </c>
    </row>
    <row r="104" spans="2:16" x14ac:dyDescent="0.3">
      <c r="B104" s="29">
        <v>18</v>
      </c>
      <c r="C104" s="29">
        <f t="shared" si="19"/>
        <v>0.25700000000000001</v>
      </c>
      <c r="D104" s="1">
        <f t="shared" si="19"/>
        <v>3.3820000000000003E-2</v>
      </c>
      <c r="E104" s="28">
        <f t="shared" si="19"/>
        <v>4.0362000000000002E-2</v>
      </c>
      <c r="F104">
        <f t="shared" si="20"/>
        <v>3.3260679694428932E-2</v>
      </c>
      <c r="G104">
        <f t="shared" si="21"/>
        <v>0.5495298225252242</v>
      </c>
      <c r="H104" s="43">
        <f>calcCapValue($B$33:$B104, $E$33:$E104, $E104, C104, 0.25, $G$33:G104)</f>
        <v>0.12443034776817667</v>
      </c>
      <c r="I104">
        <f t="shared" si="25"/>
        <v>1.7740555215858961E-3</v>
      </c>
      <c r="J104" s="29">
        <f t="shared" si="22"/>
        <v>2.1362069847489358</v>
      </c>
      <c r="K104">
        <f t="shared" si="23"/>
        <v>-2.1362069847489358</v>
      </c>
      <c r="L104">
        <f t="shared" si="26"/>
        <v>0.98366872680684747</v>
      </c>
      <c r="M104">
        <f t="shared" si="27"/>
        <v>1.6331273193152515E-2</v>
      </c>
      <c r="N104">
        <f t="shared" si="28"/>
        <v>0.19439593974765018</v>
      </c>
      <c r="O104">
        <f t="shared" si="24"/>
        <v>0.28581590310162952</v>
      </c>
      <c r="P104" s="31">
        <f t="shared" si="29"/>
        <v>0.19439593974765018</v>
      </c>
    </row>
    <row r="105" spans="2:16" x14ac:dyDescent="0.3">
      <c r="B105" s="29">
        <v>18.25</v>
      </c>
      <c r="C105" s="29">
        <f t="shared" si="19"/>
        <v>0.25537500000000002</v>
      </c>
      <c r="D105" s="1">
        <f t="shared" si="19"/>
        <v>3.39075E-2</v>
      </c>
      <c r="E105" s="28">
        <f t="shared" si="19"/>
        <v>4.0287999999999997E-2</v>
      </c>
      <c r="F105">
        <f t="shared" si="20"/>
        <v>3.33453136706683E-2</v>
      </c>
      <c r="G105">
        <f t="shared" si="21"/>
        <v>0.54413822491205865</v>
      </c>
      <c r="H105" s="43">
        <f>calcCapValue($B$33:$B105, $E$33:$E105, $E105, C105, 0.25, $G$33:G105)</f>
        <v>0.12616973622749406</v>
      </c>
      <c r="I105">
        <f t="shared" si="25"/>
        <v>1.7393884593173842E-3</v>
      </c>
      <c r="J105" s="29">
        <f t="shared" si="22"/>
        <v>2.1507831261090824</v>
      </c>
      <c r="K105">
        <f t="shared" si="23"/>
        <v>-2.1507831261090824</v>
      </c>
      <c r="L105">
        <f t="shared" si="26"/>
        <v>0.98425333921588987</v>
      </c>
      <c r="M105">
        <f t="shared" si="27"/>
        <v>1.5746660784110116E-2</v>
      </c>
      <c r="N105">
        <f t="shared" si="28"/>
        <v>0.191424430101725</v>
      </c>
      <c r="O105">
        <f t="shared" si="24"/>
        <v>0.2799008089652108</v>
      </c>
      <c r="P105" s="31">
        <f t="shared" si="29"/>
        <v>0.191424430101725</v>
      </c>
    </row>
    <row r="106" spans="2:16" x14ac:dyDescent="0.3">
      <c r="B106" s="29">
        <v>18.5</v>
      </c>
      <c r="C106" s="29">
        <f t="shared" si="19"/>
        <v>0.25375000000000003</v>
      </c>
      <c r="D106" s="1">
        <f t="shared" si="19"/>
        <v>3.3995000000000004E-2</v>
      </c>
      <c r="E106" s="28">
        <f t="shared" si="19"/>
        <v>4.0214E-2</v>
      </c>
      <c r="F106">
        <f t="shared" si="20"/>
        <v>3.3429940484603911E-2</v>
      </c>
      <c r="G106">
        <f t="shared" si="21"/>
        <v>0.53877679733664063</v>
      </c>
      <c r="H106" s="43">
        <f>calcCapValue($B$33:$B106, $E$33:$E106, $E106, C106, 0.25, $G$33:G106)</f>
        <v>0.12787442696629764</v>
      </c>
      <c r="I106">
        <f t="shared" si="25"/>
        <v>1.7046907388035826E-3</v>
      </c>
      <c r="J106" s="29">
        <f t="shared" si="22"/>
        <v>2.1652612231284158</v>
      </c>
      <c r="K106">
        <f t="shared" si="23"/>
        <v>-2.1652612231284158</v>
      </c>
      <c r="L106">
        <f t="shared" si="26"/>
        <v>0.98481615692440916</v>
      </c>
      <c r="M106">
        <f t="shared" si="27"/>
        <v>1.5183843075590881E-2</v>
      </c>
      <c r="N106">
        <f t="shared" si="28"/>
        <v>0.18844393443514873</v>
      </c>
      <c r="O106">
        <f t="shared" si="24"/>
        <v>0.27405813863337508</v>
      </c>
      <c r="P106" s="31">
        <f t="shared" si="29"/>
        <v>0.18844393443514873</v>
      </c>
    </row>
    <row r="107" spans="2:16" x14ac:dyDescent="0.3">
      <c r="B107" s="29">
        <v>18.75</v>
      </c>
      <c r="C107" s="29">
        <f t="shared" si="19"/>
        <v>0.25212499999999999</v>
      </c>
      <c r="D107" s="1">
        <f t="shared" si="19"/>
        <v>3.4082500000000002E-2</v>
      </c>
      <c r="E107" s="28">
        <f t="shared" si="19"/>
        <v>4.0140000000000002E-2</v>
      </c>
      <c r="F107">
        <f t="shared" si="20"/>
        <v>3.3514560137447899E-2</v>
      </c>
      <c r="G107">
        <f t="shared" si="21"/>
        <v>0.53344569548529996</v>
      </c>
      <c r="H107" s="43">
        <f>calcCapValue($B$33:$B107, $E$33:$E107, $E107, C107, 0.25, $G$33:G107)</f>
        <v>0.12954440484704038</v>
      </c>
      <c r="I107">
        <f t="shared" si="25"/>
        <v>1.6699778807427457E-3</v>
      </c>
      <c r="J107" s="29">
        <f t="shared" si="22"/>
        <v>2.1796432264466117</v>
      </c>
      <c r="K107">
        <f t="shared" si="23"/>
        <v>-2.1796432264466117</v>
      </c>
      <c r="L107">
        <f t="shared" si="26"/>
        <v>0.98535804101454205</v>
      </c>
      <c r="M107">
        <f t="shared" si="27"/>
        <v>1.4641958985457943E-2</v>
      </c>
      <c r="N107">
        <f t="shared" si="28"/>
        <v>0.18545442106708315</v>
      </c>
      <c r="O107">
        <f t="shared" si="24"/>
        <v>0.26828952584557314</v>
      </c>
      <c r="P107" s="31">
        <f t="shared" si="29"/>
        <v>0.18545442106708315</v>
      </c>
    </row>
    <row r="108" spans="2:16" x14ac:dyDescent="0.3">
      <c r="B108" s="29">
        <v>19</v>
      </c>
      <c r="C108" s="29">
        <f t="shared" si="19"/>
        <v>0.2505</v>
      </c>
      <c r="D108" s="1">
        <f t="shared" si="19"/>
        <v>3.4169999999999999E-2</v>
      </c>
      <c r="E108" s="28">
        <f t="shared" si="19"/>
        <v>4.0066000000000004E-2</v>
      </c>
      <c r="F108">
        <f t="shared" si="20"/>
        <v>3.3599172630412101E-2</v>
      </c>
      <c r="G108">
        <f t="shared" si="21"/>
        <v>0.52814506960287533</v>
      </c>
      <c r="H108" s="43">
        <f>calcCapValue($B$33:$B108, $E$33:$E108, $E108, C108, 0.25, $G$33:G108)</f>
        <v>0.13117966972242187</v>
      </c>
      <c r="I108">
        <f t="shared" si="25"/>
        <v>1.6352648753814869E-3</v>
      </c>
      <c r="J108" s="29">
        <f t="shared" si="22"/>
        <v>2.193931022920578</v>
      </c>
      <c r="K108">
        <f t="shared" si="23"/>
        <v>-2.193931022920578</v>
      </c>
      <c r="L108">
        <f t="shared" si="26"/>
        <v>0.98587981563334981</v>
      </c>
      <c r="M108">
        <f t="shared" si="27"/>
        <v>1.4120184366650195E-2</v>
      </c>
      <c r="N108">
        <f t="shared" si="28"/>
        <v>0.18245585623557442</v>
      </c>
      <c r="O108">
        <f t="shared" si="24"/>
        <v>0.26259641679131002</v>
      </c>
      <c r="P108" s="31">
        <f t="shared" si="29"/>
        <v>0.18245585623557442</v>
      </c>
    </row>
    <row r="109" spans="2:16" x14ac:dyDescent="0.3">
      <c r="B109" s="29">
        <v>19.25</v>
      </c>
      <c r="C109" s="29">
        <f t="shared" si="19"/>
        <v>0.24887500000000001</v>
      </c>
      <c r="D109" s="1">
        <f t="shared" si="19"/>
        <v>3.4257500000000003E-2</v>
      </c>
      <c r="E109" s="28">
        <f t="shared" si="19"/>
        <v>3.9992000000000007E-2</v>
      </c>
      <c r="F109">
        <f t="shared" si="20"/>
        <v>3.3683777964708041E-2</v>
      </c>
      <c r="G109">
        <f t="shared" si="21"/>
        <v>0.52287506452233179</v>
      </c>
      <c r="H109" s="43">
        <f>calcCapValue($B$33:$B109, $E$33:$E109, $E109, C109, 0.25, $G$33:G109)</f>
        <v>0.13278023592574034</v>
      </c>
      <c r="I109">
        <f t="shared" si="25"/>
        <v>1.6005662033184709E-3</v>
      </c>
      <c r="J109" s="29">
        <f t="shared" si="22"/>
        <v>2.2081264385041566</v>
      </c>
      <c r="K109">
        <f t="shared" si="23"/>
        <v>-2.2081264385041566</v>
      </c>
      <c r="L109">
        <f t="shared" si="26"/>
        <v>0.98638226976442811</v>
      </c>
      <c r="M109">
        <f t="shared" si="27"/>
        <v>1.3617730235571843E-2</v>
      </c>
      <c r="N109">
        <f t="shared" si="28"/>
        <v>0.17944820415740537</v>
      </c>
      <c r="O109">
        <f t="shared" si="24"/>
        <v>0.25698008131999622</v>
      </c>
      <c r="P109" s="31">
        <f t="shared" si="29"/>
        <v>0.17944820415740537</v>
      </c>
    </row>
    <row r="110" spans="2:16" x14ac:dyDescent="0.3">
      <c r="B110" s="29">
        <v>19.5</v>
      </c>
      <c r="C110" s="29">
        <f t="shared" si="19"/>
        <v>0.24725</v>
      </c>
      <c r="D110" s="1">
        <f t="shared" si="19"/>
        <v>3.4345000000000001E-2</v>
      </c>
      <c r="E110" s="28">
        <f t="shared" si="19"/>
        <v>3.9918000000000002E-2</v>
      </c>
      <c r="F110">
        <f t="shared" si="20"/>
        <v>3.376837614154695E-2</v>
      </c>
      <c r="G110">
        <f t="shared" si="21"/>
        <v>0.51763581969522698</v>
      </c>
      <c r="H110" s="43">
        <f>calcCapValue($B$33:$B110, $E$33:$E110, $E110, C110, 0.25, $G$33:G110)</f>
        <v>0.13434613178106616</v>
      </c>
      <c r="I110">
        <f t="shared" si="25"/>
        <v>1.5658958553258218E-3</v>
      </c>
      <c r="J110" s="29">
        <f t="shared" si="22"/>
        <v>2.2222312409629397</v>
      </c>
      <c r="K110">
        <f t="shared" si="23"/>
        <v>-2.2222312409629397</v>
      </c>
      <c r="L110">
        <f t="shared" si="26"/>
        <v>0.98686615890172835</v>
      </c>
      <c r="M110">
        <f t="shared" si="27"/>
        <v>1.3133841098271648E-2</v>
      </c>
      <c r="N110">
        <f t="shared" si="28"/>
        <v>0.17643142709180837</v>
      </c>
      <c r="O110">
        <f t="shared" si="24"/>
        <v>0.25144162355308319</v>
      </c>
      <c r="P110" s="31">
        <f t="shared" si="29"/>
        <v>0.17643142709180837</v>
      </c>
    </row>
    <row r="111" spans="2:16" x14ac:dyDescent="0.3">
      <c r="B111" s="29">
        <v>19.75</v>
      </c>
      <c r="C111" s="29">
        <f>C$92+(($B111-$B$92)*((C$112-C$92)/($B$112-$B$92)))</f>
        <v>0.24562499999999998</v>
      </c>
      <c r="D111" s="1">
        <f>D$92+(($B111-$B$92)*((D$112-D$92)/($B$112-$B$92)))</f>
        <v>3.4432500000000005E-2</v>
      </c>
      <c r="E111" s="28">
        <f>E$92+(($B111-$B$92)*((E$112-E$92)/($B$112-$B$92)))</f>
        <v>3.9844000000000004E-2</v>
      </c>
      <c r="F111">
        <f t="shared" si="20"/>
        <v>3.3852967162139737E-2</v>
      </c>
      <c r="G111">
        <f t="shared" si="21"/>
        <v>0.5124274692230113</v>
      </c>
      <c r="H111" s="43">
        <f>calcCapValue($B$33:$B111, $E$33:$E111, $E111, C111, 0.25, $G$33:G111)</f>
        <v>0.13587739913231739</v>
      </c>
      <c r="I111">
        <f t="shared" si="25"/>
        <v>1.5312673512512254E-3</v>
      </c>
      <c r="J111" s="29">
        <f t="shared" si="22"/>
        <v>2.2362471424355763</v>
      </c>
      <c r="K111">
        <f t="shared" si="23"/>
        <v>-2.2362471424355763</v>
      </c>
      <c r="L111">
        <f t="shared" si="26"/>
        <v>0.98733220663191046</v>
      </c>
      <c r="M111">
        <f t="shared" si="27"/>
        <v>1.2667793368089559E-2</v>
      </c>
      <c r="N111">
        <f t="shared" si="28"/>
        <v>0.17340548540821521</v>
      </c>
      <c r="O111">
        <f t="shared" si="24"/>
        <v>0.24598199193006731</v>
      </c>
      <c r="P111" s="31">
        <f t="shared" si="29"/>
        <v>0.17340548540821521</v>
      </c>
    </row>
    <row r="112" spans="2:16" x14ac:dyDescent="0.3">
      <c r="B112" s="47">
        <v>20</v>
      </c>
      <c r="C112" s="47">
        <f>$O$4</f>
        <v>0.24399999999999999</v>
      </c>
      <c r="D112" s="48">
        <f>$O$3</f>
        <v>3.4520000000000002E-2</v>
      </c>
      <c r="E112" s="49">
        <f>$O$5</f>
        <v>3.9770000000000007E-2</v>
      </c>
      <c r="F112" s="46">
        <f t="shared" si="20"/>
        <v>3.3937551027697001E-2</v>
      </c>
      <c r="G112" s="46">
        <f t="shared" si="21"/>
        <v>0.50725014188914275</v>
      </c>
      <c r="H112" s="45">
        <f>calcCapValue($B$33:$B112, $E$33:$E112, $E112, C112, 0.25, $G$33:G112)</f>
        <v>0.13737409289038094</v>
      </c>
      <c r="I112" s="46">
        <f t="shared" si="25"/>
        <v>1.4966937580635498E-3</v>
      </c>
      <c r="J112" s="47">
        <f t="shared" si="22"/>
        <v>2.2501758018520484</v>
      </c>
      <c r="K112" s="46">
        <f t="shared" si="23"/>
        <v>-2.2501758018520484</v>
      </c>
      <c r="L112" s="46">
        <f t="shared" si="26"/>
        <v>0.98778110613107384</v>
      </c>
      <c r="M112" s="46">
        <f t="shared" si="27"/>
        <v>1.2218893868926155E-2</v>
      </c>
      <c r="N112" s="46">
        <f t="shared" si="28"/>
        <v>0.17037033765880574</v>
      </c>
      <c r="O112" s="46">
        <f t="shared" si="24"/>
        <v>0.24060198871825209</v>
      </c>
      <c r="P112" s="31">
        <f t="shared" si="29"/>
        <v>0.17037033765880574</v>
      </c>
    </row>
    <row r="113" spans="2:16" x14ac:dyDescent="0.3">
      <c r="B113" s="29">
        <v>20.25</v>
      </c>
      <c r="C113" s="29">
        <f>C$112+(($B113-$B$112)*((C$132-C$112)/($B$132-$B$112)))</f>
        <v>0.24352499999999999</v>
      </c>
      <c r="D113" s="1">
        <f>D$112+(($B113-$B$112)*((D$132-D$112)/($B$132-$B$112)))</f>
        <v>3.4557500000000005E-2</v>
      </c>
      <c r="E113" s="28">
        <f>E$112+(($B113-$B$112)*((E$132-E$112)/($B$132-$B$112)))</f>
        <v>3.9695000000000008E-2</v>
      </c>
      <c r="F113">
        <f t="shared" si="20"/>
        <v>3.3973799065775828E-2</v>
      </c>
      <c r="G113">
        <f t="shared" si="21"/>
        <v>0.50259558859395814</v>
      </c>
      <c r="H113" s="43">
        <f>calcCapValue($B$33:$B113, $E$33:$E113, $E113, C113, 0.25, $G$33:G113)</f>
        <v>0.13947673917532341</v>
      </c>
      <c r="I113">
        <f t="shared" si="25"/>
        <v>2.1026462849424721E-3</v>
      </c>
      <c r="J113" s="29">
        <f t="shared" si="22"/>
        <v>2.2640188272185369</v>
      </c>
      <c r="K113">
        <f t="shared" si="23"/>
        <v>-2.2640188272185369</v>
      </c>
      <c r="L113">
        <f t="shared" si="26"/>
        <v>0.98821352158127151</v>
      </c>
      <c r="M113">
        <f t="shared" si="27"/>
        <v>1.1786478418728433E-2</v>
      </c>
      <c r="N113">
        <f t="shared" si="28"/>
        <v>0.24696989470200395</v>
      </c>
      <c r="O113">
        <f t="shared" si="24"/>
        <v>0.23513123485621065</v>
      </c>
      <c r="P113" s="31">
        <f t="shared" si="29"/>
        <v>0.24696989470200395</v>
      </c>
    </row>
    <row r="114" spans="2:16" x14ac:dyDescent="0.3">
      <c r="B114" s="29">
        <v>20.5</v>
      </c>
      <c r="C114" s="29">
        <f t="shared" ref="C114:E131" si="30">C$112+(($B114-$B$112)*((C$132-C$112)/($B$132-$B$112)))</f>
        <v>0.24304999999999999</v>
      </c>
      <c r="D114" s="1">
        <f t="shared" si="30"/>
        <v>3.4595000000000001E-2</v>
      </c>
      <c r="E114" s="28">
        <f t="shared" si="30"/>
        <v>3.9620000000000009E-2</v>
      </c>
      <c r="F114">
        <f t="shared" si="20"/>
        <v>3.4010045789982013E-2</v>
      </c>
      <c r="G114">
        <f t="shared" si="21"/>
        <v>0.49797473374586981</v>
      </c>
      <c r="H114" s="43">
        <f>calcCapValue($B$33:$B114, $E$33:$E114, $E114, C114, 0.25, $G$33:G114)</f>
        <v>0.14156440078587057</v>
      </c>
      <c r="I114">
        <f t="shared" si="25"/>
        <v>2.087661610547159E-3</v>
      </c>
      <c r="J114" s="29">
        <f t="shared" si="22"/>
        <v>2.2777777777777777</v>
      </c>
      <c r="K114">
        <f t="shared" si="23"/>
        <v>-2.2777777777777777</v>
      </c>
      <c r="L114">
        <f t="shared" si="26"/>
        <v>0.98863008951181564</v>
      </c>
      <c r="M114">
        <f t="shared" si="27"/>
        <v>1.1369910488184353E-2</v>
      </c>
      <c r="N114">
        <f t="shared" si="28"/>
        <v>0.24654503550072662</v>
      </c>
      <c r="O114">
        <f t="shared" si="24"/>
        <v>0.23034243479937841</v>
      </c>
      <c r="P114" s="31">
        <f t="shared" si="29"/>
        <v>0.24654503550072662</v>
      </c>
    </row>
    <row r="115" spans="2:16" x14ac:dyDescent="0.3">
      <c r="B115" s="29">
        <v>20.75</v>
      </c>
      <c r="C115" s="29">
        <f t="shared" si="30"/>
        <v>0.24257499999999999</v>
      </c>
      <c r="D115" s="1">
        <f t="shared" si="30"/>
        <v>3.4632500000000004E-2</v>
      </c>
      <c r="E115" s="28">
        <f t="shared" si="30"/>
        <v>3.9545000000000004E-2</v>
      </c>
      <c r="F115">
        <f t="shared" si="20"/>
        <v>3.4046291200411014E-2</v>
      </c>
      <c r="G115">
        <f t="shared" si="21"/>
        <v>0.49338743448482592</v>
      </c>
      <c r="H115" s="43">
        <f>calcCapValue($B$33:$B115, $E$33:$E115, $E115, C115, 0.25, $G$33:G115)</f>
        <v>0.14363700188005479</v>
      </c>
      <c r="I115">
        <f t="shared" si="25"/>
        <v>2.0726010941842232E-3</v>
      </c>
      <c r="J115" s="29">
        <f t="shared" si="22"/>
        <v>2.2914541660530654</v>
      </c>
      <c r="K115">
        <f t="shared" si="23"/>
        <v>-2.2914541660530654</v>
      </c>
      <c r="L115">
        <f t="shared" si="26"/>
        <v>0.98903142007001588</v>
      </c>
      <c r="M115">
        <f t="shared" si="27"/>
        <v>1.096857992998415E-2</v>
      </c>
      <c r="N115">
        <f t="shared" si="28"/>
        <v>0.24612205096922624</v>
      </c>
      <c r="O115">
        <f t="shared" si="24"/>
        <v>0.22562704234224046</v>
      </c>
      <c r="P115" s="31">
        <f t="shared" si="29"/>
        <v>0.24612205096922624</v>
      </c>
    </row>
    <row r="116" spans="2:16" x14ac:dyDescent="0.3">
      <c r="B116" s="29">
        <v>21</v>
      </c>
      <c r="C116" s="29">
        <f t="shared" si="30"/>
        <v>0.24209999999999998</v>
      </c>
      <c r="D116" s="1">
        <f t="shared" si="30"/>
        <v>3.4669999999999999E-2</v>
      </c>
      <c r="E116" s="28">
        <f t="shared" si="30"/>
        <v>3.9470000000000005E-2</v>
      </c>
      <c r="F116">
        <f t="shared" si="20"/>
        <v>3.4082535297157643E-2</v>
      </c>
      <c r="G116">
        <f t="shared" si="21"/>
        <v>0.48883354743868002</v>
      </c>
      <c r="H116" s="43">
        <f>calcCapValue($B$33:$B116, $E$33:$E116, $E116, C116, 0.25, $G$33:G116)</f>
        <v>0.14569447428726609</v>
      </c>
      <c r="I116">
        <f t="shared" si="25"/>
        <v>2.0574724072112971E-3</v>
      </c>
      <c r="J116" s="29">
        <f t="shared" si="22"/>
        <v>2.3050494597834974</v>
      </c>
      <c r="K116">
        <f t="shared" si="23"/>
        <v>-2.3050494597834974</v>
      </c>
      <c r="L116">
        <f t="shared" si="26"/>
        <v>0.98941809822565974</v>
      </c>
      <c r="M116">
        <f t="shared" si="27"/>
        <v>1.0581901774340315E-2</v>
      </c>
      <c r="N116">
        <f t="shared" si="28"/>
        <v>0.24570105525897135</v>
      </c>
      <c r="O116">
        <f t="shared" si="24"/>
        <v>0.22098510851988737</v>
      </c>
      <c r="P116" s="31">
        <f t="shared" si="29"/>
        <v>0.24570105525897135</v>
      </c>
    </row>
    <row r="117" spans="2:16" x14ac:dyDescent="0.3">
      <c r="B117" s="29">
        <v>21.25</v>
      </c>
      <c r="C117" s="29">
        <f t="shared" si="30"/>
        <v>0.24162499999999998</v>
      </c>
      <c r="D117" s="1">
        <f t="shared" si="30"/>
        <v>3.4707500000000002E-2</v>
      </c>
      <c r="E117" s="28">
        <f t="shared" si="30"/>
        <v>3.9395000000000006E-2</v>
      </c>
      <c r="F117">
        <f t="shared" si="20"/>
        <v>3.411877808031754E-2</v>
      </c>
      <c r="G117">
        <f t="shared" si="21"/>
        <v>0.48431292873842141</v>
      </c>
      <c r="H117" s="43">
        <f>calcCapValue($B$33:$B117, $E$33:$E117, $E117, C117, 0.25, $G$33:G117)</f>
        <v>0.14773675725369817</v>
      </c>
      <c r="I117">
        <f t="shared" si="25"/>
        <v>2.0422829664320796E-3</v>
      </c>
      <c r="J117" s="29">
        <f t="shared" si="22"/>
        <v>2.3185650837574192</v>
      </c>
      <c r="K117">
        <f t="shared" si="23"/>
        <v>-2.3185650837574192</v>
      </c>
      <c r="L117">
        <f t="shared" si="26"/>
        <v>0.98979068491323441</v>
      </c>
      <c r="M117">
        <f t="shared" si="27"/>
        <v>1.0209315086765584E-2</v>
      </c>
      <c r="N117">
        <f t="shared" si="28"/>
        <v>0.24528216356967586</v>
      </c>
      <c r="O117">
        <f t="shared" si="24"/>
        <v>0.2164166013800104</v>
      </c>
      <c r="P117" s="31">
        <f t="shared" si="29"/>
        <v>0.24528216356967586</v>
      </c>
    </row>
    <row r="118" spans="2:16" x14ac:dyDescent="0.3">
      <c r="B118" s="29">
        <v>21.5</v>
      </c>
      <c r="C118" s="29">
        <f t="shared" si="30"/>
        <v>0.24115</v>
      </c>
      <c r="D118" s="1">
        <f t="shared" si="30"/>
        <v>3.4745000000000005E-2</v>
      </c>
      <c r="E118" s="28">
        <f t="shared" si="30"/>
        <v>3.9320000000000008E-2</v>
      </c>
      <c r="F118">
        <f t="shared" si="20"/>
        <v>3.4155019549985503E-2</v>
      </c>
      <c r="G118">
        <f t="shared" si="21"/>
        <v>0.47982543403334066</v>
      </c>
      <c r="H118" s="43">
        <f>calcCapValue($B$33:$B118, $E$33:$E118, $E118, C118, 0.25, $G$33:G118)</f>
        <v>0.14976379719665595</v>
      </c>
      <c r="I118">
        <f t="shared" si="25"/>
        <v>2.0270399429577757E-3</v>
      </c>
      <c r="J118" s="29">
        <f t="shared" si="22"/>
        <v>2.3320024215505537</v>
      </c>
      <c r="K118">
        <f t="shared" si="23"/>
        <v>-2.3320024215505537</v>
      </c>
      <c r="L118">
        <f t="shared" si="26"/>
        <v>0.99014971811561125</v>
      </c>
      <c r="M118">
        <f t="shared" si="27"/>
        <v>9.8502818843887764E-3</v>
      </c>
      <c r="N118">
        <f t="shared" si="28"/>
        <v>0.24486549225840676</v>
      </c>
      <c r="O118">
        <f t="shared" si="24"/>
        <v>0.21192141198471165</v>
      </c>
      <c r="P118" s="31">
        <f t="shared" si="29"/>
        <v>0.24486549225840676</v>
      </c>
    </row>
    <row r="119" spans="2:16" x14ac:dyDescent="0.3">
      <c r="B119" s="29">
        <v>21.75</v>
      </c>
      <c r="C119" s="29">
        <f t="shared" si="30"/>
        <v>0.240675</v>
      </c>
      <c r="D119" s="1">
        <f t="shared" si="30"/>
        <v>3.4782500000000001E-2</v>
      </c>
      <c r="E119" s="28">
        <f t="shared" si="30"/>
        <v>3.9245000000000009E-2</v>
      </c>
      <c r="F119">
        <f t="shared" si="20"/>
        <v>3.4191259706256937E-2</v>
      </c>
      <c r="G119">
        <f t="shared" si="21"/>
        <v>0.47537091850606444</v>
      </c>
      <c r="H119" s="43">
        <f>calcCapValue($B$33:$B119, $E$33:$E119, $E119, C119, 0.25, $G$33:G119)</f>
        <v>0.15177554746733501</v>
      </c>
      <c r="I119">
        <f t="shared" si="25"/>
        <v>2.0117502706790691E-3</v>
      </c>
      <c r="J119" s="29">
        <f t="shared" si="22"/>
        <v>2.3453628171747853</v>
      </c>
      <c r="K119">
        <f t="shared" si="23"/>
        <v>-2.3453628171747853</v>
      </c>
      <c r="L119">
        <f t="shared" si="26"/>
        <v>0.99049571389265223</v>
      </c>
      <c r="M119">
        <f t="shared" si="27"/>
        <v>9.5042861073477806E-3</v>
      </c>
      <c r="N119">
        <f t="shared" si="28"/>
        <v>0.24445115894728806</v>
      </c>
      <c r="O119">
        <f t="shared" si="24"/>
        <v>0.20749936005549335</v>
      </c>
      <c r="P119" s="31">
        <f t="shared" si="29"/>
        <v>0.24445115894728806</v>
      </c>
    </row>
    <row r="120" spans="2:16" x14ac:dyDescent="0.3">
      <c r="B120" s="29">
        <v>22</v>
      </c>
      <c r="C120" s="29">
        <f t="shared" si="30"/>
        <v>0.2402</v>
      </c>
      <c r="D120" s="1">
        <f t="shared" si="30"/>
        <v>3.4820000000000004E-2</v>
      </c>
      <c r="E120" s="28">
        <f t="shared" si="30"/>
        <v>3.9170000000000003E-2</v>
      </c>
      <c r="F120">
        <f t="shared" si="20"/>
        <v>3.4227498549227256E-2</v>
      </c>
      <c r="G120">
        <f t="shared" si="21"/>
        <v>0.47094923688751333</v>
      </c>
      <c r="H120" s="43">
        <f>calcCapValue($B$33:$B120, $E$33:$E120, $E120, C120, 0.25, $G$33:G120)</f>
        <v>0.15377196812170249</v>
      </c>
      <c r="I120">
        <f t="shared" si="25"/>
        <v>1.9964206543674756E-3</v>
      </c>
      <c r="J120" s="29">
        <f t="shared" si="22"/>
        <v>2.3586475766431483</v>
      </c>
      <c r="K120">
        <f t="shared" si="23"/>
        <v>-2.3586475766431483</v>
      </c>
      <c r="L120">
        <f t="shared" si="26"/>
        <v>0.99082916735796367</v>
      </c>
      <c r="M120">
        <f t="shared" si="27"/>
        <v>9.170832642036322E-3</v>
      </c>
      <c r="N120">
        <f t="shared" si="28"/>
        <v>0.24403928262959437</v>
      </c>
      <c r="O120">
        <f t="shared" si="24"/>
        <v>0.20315019928193551</v>
      </c>
      <c r="P120" s="31">
        <f t="shared" si="29"/>
        <v>0.24403928262959437</v>
      </c>
    </row>
    <row r="121" spans="2:16" x14ac:dyDescent="0.3">
      <c r="B121" s="29">
        <v>22.25</v>
      </c>
      <c r="C121" s="29">
        <f t="shared" si="30"/>
        <v>0.23972499999999999</v>
      </c>
      <c r="D121" s="1">
        <f t="shared" si="30"/>
        <v>3.48575E-2</v>
      </c>
      <c r="E121" s="28">
        <f t="shared" si="30"/>
        <v>3.9095000000000005E-2</v>
      </c>
      <c r="F121">
        <f t="shared" si="20"/>
        <v>3.4263736078991205E-2</v>
      </c>
      <c r="G121">
        <f t="shared" si="21"/>
        <v>0.46656024347176067</v>
      </c>
      <c r="H121" s="43">
        <f>calcCapValue($B$33:$B121, $E$33:$E121, $E121, C121, 0.25, $G$33:G121)</f>
        <v>0.15575302569913313</v>
      </c>
      <c r="I121">
        <f t="shared" si="25"/>
        <v>1.9810575774306394E-3</v>
      </c>
      <c r="J121" s="29">
        <f t="shared" si="22"/>
        <v>2.3718579694561659</v>
      </c>
      <c r="K121">
        <f t="shared" si="23"/>
        <v>-2.3718579694561659</v>
      </c>
      <c r="L121">
        <f t="shared" si="26"/>
        <v>0.99115055360680004</v>
      </c>
      <c r="M121">
        <f t="shared" si="27"/>
        <v>8.8494463931999747E-3</v>
      </c>
      <c r="N121">
        <f t="shared" si="28"/>
        <v>0.24362998377504555</v>
      </c>
      <c r="O121">
        <f t="shared" si="24"/>
        <v>0.19887362231330677</v>
      </c>
      <c r="P121" s="31">
        <f t="shared" si="29"/>
        <v>0.24362998377504555</v>
      </c>
    </row>
    <row r="122" spans="2:16" x14ac:dyDescent="0.3">
      <c r="B122" s="29">
        <v>22.5</v>
      </c>
      <c r="C122" s="29">
        <f t="shared" si="30"/>
        <v>0.23924999999999999</v>
      </c>
      <c r="D122" s="1">
        <f t="shared" si="30"/>
        <v>3.4895000000000002E-2</v>
      </c>
      <c r="E122" s="28">
        <f t="shared" si="30"/>
        <v>3.9020000000000006E-2</v>
      </c>
      <c r="F122">
        <f t="shared" si="20"/>
        <v>3.4299972295644181E-2</v>
      </c>
      <c r="G122">
        <f t="shared" si="21"/>
        <v>0.46220379213077073</v>
      </c>
      <c r="H122" s="43">
        <f>calcCapValue($B$33:$B122, $E$33:$E122, $E122, C122, 0.25, $G$33:G122)</f>
        <v>0.15771869300847124</v>
      </c>
      <c r="I122">
        <f t="shared" si="25"/>
        <v>1.965667309338115E-3</v>
      </c>
      <c r="J122" s="29">
        <f t="shared" si="22"/>
        <v>2.3849952300143098</v>
      </c>
      <c r="K122">
        <f t="shared" si="23"/>
        <v>-2.3849952300143098</v>
      </c>
      <c r="L122">
        <f t="shared" si="26"/>
        <v>0.99146032859792055</v>
      </c>
      <c r="M122">
        <f t="shared" si="27"/>
        <v>8.5396714020794014E-3</v>
      </c>
      <c r="N122">
        <f t="shared" si="28"/>
        <v>0.24322338443419753</v>
      </c>
      <c r="O122">
        <f t="shared" si="24"/>
        <v>0.19466926545125821</v>
      </c>
      <c r="P122" s="31">
        <f t="shared" si="29"/>
        <v>0.24322338443419753</v>
      </c>
    </row>
    <row r="123" spans="2:16" x14ac:dyDescent="0.3">
      <c r="B123" s="29">
        <v>22.75</v>
      </c>
      <c r="C123" s="29">
        <f t="shared" si="30"/>
        <v>0.23877499999999999</v>
      </c>
      <c r="D123" s="1">
        <f t="shared" si="30"/>
        <v>3.4932500000000005E-2</v>
      </c>
      <c r="E123" s="28">
        <f t="shared" si="30"/>
        <v>3.8945000000000007E-2</v>
      </c>
      <c r="F123">
        <f t="shared" si="20"/>
        <v>3.433620719928155E-2</v>
      </c>
      <c r="G123">
        <f t="shared" si="21"/>
        <v>0.4578797363290566</v>
      </c>
      <c r="H123" s="43">
        <f>calcCapValue($B$33:$B123, $E$33:$E123, $E123, C123, 0.25, $G$33:G123)</f>
        <v>0.15966894892120745</v>
      </c>
      <c r="I123">
        <f t="shared" si="25"/>
        <v>1.950255912736204E-3</v>
      </c>
      <c r="J123" s="29">
        <f t="shared" si="22"/>
        <v>2.3980605589610211</v>
      </c>
      <c r="K123">
        <f t="shared" si="23"/>
        <v>-2.3980605589610211</v>
      </c>
      <c r="L123">
        <f t="shared" si="26"/>
        <v>0.99175892999201609</v>
      </c>
      <c r="M123">
        <f t="shared" si="27"/>
        <v>8.2410700079839309E-3</v>
      </c>
      <c r="N123">
        <f t="shared" si="28"/>
        <v>0.24281960834223176</v>
      </c>
      <c r="O123">
        <f t="shared" si="24"/>
        <v>0.19053671306076561</v>
      </c>
      <c r="P123" s="31">
        <f t="shared" si="29"/>
        <v>0.24281960834223176</v>
      </c>
    </row>
    <row r="124" spans="2:16" x14ac:dyDescent="0.3">
      <c r="B124" s="29">
        <v>23</v>
      </c>
      <c r="C124" s="29">
        <f t="shared" si="30"/>
        <v>0.23829999999999998</v>
      </c>
      <c r="D124" s="1">
        <f t="shared" si="30"/>
        <v>3.4970000000000001E-2</v>
      </c>
      <c r="E124" s="28">
        <f t="shared" si="30"/>
        <v>3.8870000000000009E-2</v>
      </c>
      <c r="F124">
        <f t="shared" si="20"/>
        <v>3.4372440789998036E-2</v>
      </c>
      <c r="G124">
        <f t="shared" si="21"/>
        <v>0.45358792913823626</v>
      </c>
      <c r="H124" s="43">
        <f>calcCapValue($B$33:$B124, $E$33:$E124, $E124, C124, 0.25, $G$33:G124)</f>
        <v>0.16160377817884525</v>
      </c>
      <c r="I124">
        <f t="shared" si="25"/>
        <v>1.934829257637799E-3</v>
      </c>
      <c r="J124" s="29">
        <f t="shared" si="22"/>
        <v>2.4110551244604119</v>
      </c>
      <c r="K124">
        <f t="shared" si="23"/>
        <v>-2.4110551244604119</v>
      </c>
      <c r="L124">
        <f t="shared" si="26"/>
        <v>0.99204677794914831</v>
      </c>
      <c r="M124">
        <f t="shared" si="27"/>
        <v>7.9532220508516868E-3</v>
      </c>
      <c r="N124">
        <f t="shared" si="28"/>
        <v>0.24241878205705836</v>
      </c>
      <c r="O124">
        <f t="shared" si="24"/>
        <v>0.18647550170907209</v>
      </c>
      <c r="P124" s="31">
        <f t="shared" si="29"/>
        <v>0.24241878205705836</v>
      </c>
    </row>
    <row r="125" spans="2:16" x14ac:dyDescent="0.3">
      <c r="B125" s="29">
        <v>23.25</v>
      </c>
      <c r="C125" s="29">
        <f t="shared" si="30"/>
        <v>0.23782499999999998</v>
      </c>
      <c r="D125" s="1">
        <f t="shared" si="30"/>
        <v>3.5007500000000004E-2</v>
      </c>
      <c r="E125" s="28">
        <f t="shared" si="30"/>
        <v>3.8795000000000003E-2</v>
      </c>
      <c r="F125">
        <f t="shared" si="20"/>
        <v>3.4408673067889209E-2</v>
      </c>
      <c r="G125">
        <f t="shared" si="21"/>
        <v>0.4493282232514646</v>
      </c>
      <c r="H125" s="43">
        <f>calcCapValue($B$33:$B125, $E$33:$E125, $E125, C125, 0.25, $G$33:G125)</f>
        <v>0.16352317116569171</v>
      </c>
      <c r="I125">
        <f t="shared" si="25"/>
        <v>1.9193929868464576E-3</v>
      </c>
      <c r="J125" s="29">
        <f t="shared" si="22"/>
        <v>2.4239800634134943</v>
      </c>
      <c r="K125">
        <f t="shared" si="23"/>
        <v>-2.4239800634134943</v>
      </c>
      <c r="L125">
        <f t="shared" si="26"/>
        <v>0.99232427588748973</v>
      </c>
      <c r="M125">
        <f t="shared" si="27"/>
        <v>7.675724112510298E-3</v>
      </c>
      <c r="N125">
        <f t="shared" si="28"/>
        <v>0.24202102928503286</v>
      </c>
      <c r="O125">
        <f t="shared" si="24"/>
        <v>0.18248512409603831</v>
      </c>
      <c r="P125" s="31">
        <f t="shared" si="29"/>
        <v>0.24202102928503286</v>
      </c>
    </row>
    <row r="126" spans="2:16" x14ac:dyDescent="0.3">
      <c r="B126" s="29">
        <v>23.5</v>
      </c>
      <c r="C126" s="29">
        <f t="shared" si="30"/>
        <v>0.23734999999999998</v>
      </c>
      <c r="D126" s="1">
        <f t="shared" si="30"/>
        <v>3.5045E-2</v>
      </c>
      <c r="E126" s="28">
        <f t="shared" si="30"/>
        <v>3.8720000000000004E-2</v>
      </c>
      <c r="F126">
        <f t="shared" si="20"/>
        <v>3.4444904033049763E-2</v>
      </c>
      <c r="G126">
        <f t="shared" si="21"/>
        <v>0.44510047099779582</v>
      </c>
      <c r="H126" s="43">
        <f>calcCapValue($B$33:$B126, $E$33:$E126, $E126, C126, 0.25, $G$33:G126)</f>
        <v>0.16542712377320568</v>
      </c>
      <c r="I126">
        <f t="shared" si="25"/>
        <v>1.9039526075139701E-3</v>
      </c>
      <c r="J126" s="29">
        <f t="shared" si="22"/>
        <v>2.4368364826164992</v>
      </c>
      <c r="K126">
        <f t="shared" si="23"/>
        <v>-2.4368364826164992</v>
      </c>
      <c r="L126">
        <f t="shared" si="26"/>
        <v>0.99259181120549977</v>
      </c>
      <c r="M126">
        <f t="shared" si="27"/>
        <v>7.4081887945002057E-3</v>
      </c>
      <c r="N126">
        <f t="shared" si="28"/>
        <v>0.24162648295969985</v>
      </c>
      <c r="O126">
        <f t="shared" si="24"/>
        <v>0.17856503263934501</v>
      </c>
      <c r="P126" s="31">
        <f t="shared" si="29"/>
        <v>0.24162648295969985</v>
      </c>
    </row>
    <row r="127" spans="2:16" x14ac:dyDescent="0.3">
      <c r="B127" s="29">
        <v>23.75</v>
      </c>
      <c r="C127" s="29">
        <f t="shared" si="30"/>
        <v>0.236875</v>
      </c>
      <c r="D127" s="1">
        <f t="shared" si="30"/>
        <v>3.5082500000000003E-2</v>
      </c>
      <c r="E127" s="28">
        <f t="shared" si="30"/>
        <v>3.8645000000000006E-2</v>
      </c>
      <c r="F127">
        <f t="shared" si="20"/>
        <v>3.4481133685575045E-2</v>
      </c>
      <c r="G127">
        <f t="shared" si="21"/>
        <v>0.44090452435640942</v>
      </c>
      <c r="H127" s="43">
        <f>calcCapValue($B$33:$B127, $E$33:$E127, $E127, C127, 0.25, $G$33:G127)</f>
        <v>0.16731563718744202</v>
      </c>
      <c r="I127">
        <f t="shared" si="25"/>
        <v>1.888513414236348E-3</v>
      </c>
      <c r="J127" s="29">
        <f t="shared" si="22"/>
        <v>2.4496254598646345</v>
      </c>
      <c r="K127">
        <f t="shared" si="23"/>
        <v>-2.4496254598646345</v>
      </c>
      <c r="L127">
        <f t="shared" si="26"/>
        <v>0.99284975596954217</v>
      </c>
      <c r="M127">
        <f t="shared" si="27"/>
        <v>7.1502440304578195E-3</v>
      </c>
      <c r="N127">
        <f t="shared" si="28"/>
        <v>0.24123527371034323</v>
      </c>
      <c r="O127">
        <f t="shared" si="24"/>
        <v>0.17471464298246936</v>
      </c>
      <c r="P127" s="31">
        <f t="shared" si="29"/>
        <v>0.24123527371034323</v>
      </c>
    </row>
    <row r="128" spans="2:16" x14ac:dyDescent="0.3">
      <c r="B128" s="29">
        <v>24</v>
      </c>
      <c r="C128" s="29">
        <f t="shared" si="30"/>
        <v>0.2364</v>
      </c>
      <c r="D128" s="1">
        <f t="shared" si="30"/>
        <v>3.5120000000000005E-2</v>
      </c>
      <c r="E128" s="28">
        <f t="shared" si="30"/>
        <v>3.8570000000000007E-2</v>
      </c>
      <c r="F128">
        <f t="shared" si="20"/>
        <v>3.4517362025560376E-2</v>
      </c>
      <c r="G128">
        <f t="shared" si="21"/>
        <v>0.43674023497075437</v>
      </c>
      <c r="H128" s="43">
        <f>calcCapValue($B$33:$B128, $E$33:$E128, $E128, C128, 0.25, $G$33:G128)</f>
        <v>0.16918871771995211</v>
      </c>
      <c r="I128">
        <f t="shared" si="25"/>
        <v>1.8730805325100908E-3</v>
      </c>
      <c r="J128" s="29">
        <f t="shared" si="22"/>
        <v>2.46234804500437</v>
      </c>
      <c r="K128">
        <f t="shared" si="23"/>
        <v>-2.46234804500437</v>
      </c>
      <c r="L128">
        <f t="shared" si="26"/>
        <v>0.99309846756881726</v>
      </c>
      <c r="M128">
        <f t="shared" si="27"/>
        <v>6.9015324311827849E-3</v>
      </c>
      <c r="N128">
        <f t="shared" si="28"/>
        <v>0.24084753524818109</v>
      </c>
      <c r="O128">
        <f t="shared" si="24"/>
        <v>0.17093333718859394</v>
      </c>
      <c r="P128" s="31">
        <f t="shared" si="29"/>
        <v>0.24084753524818109</v>
      </c>
    </row>
    <row r="129" spans="2:16" x14ac:dyDescent="0.3">
      <c r="B129" s="29">
        <v>24.25</v>
      </c>
      <c r="C129" s="29">
        <f t="shared" si="30"/>
        <v>0.235925</v>
      </c>
      <c r="D129" s="1">
        <f t="shared" si="30"/>
        <v>3.5157500000000001E-2</v>
      </c>
      <c r="E129" s="28">
        <f t="shared" si="30"/>
        <v>3.8495000000000008E-2</v>
      </c>
      <c r="F129">
        <f t="shared" si="20"/>
        <v>3.4553589053100416E-2</v>
      </c>
      <c r="G129">
        <f t="shared" si="21"/>
        <v>0.43260745416258939</v>
      </c>
      <c r="H129" s="43">
        <f>calcCapValue($B$33:$B129, $E$33:$E129, $E129, C129, 0.25, $G$33:G129)</f>
        <v>0.17104637663799482</v>
      </c>
      <c r="I129">
        <f t="shared" si="25"/>
        <v>1.8576589180427094E-3</v>
      </c>
      <c r="J129" s="29">
        <f t="shared" si="22"/>
        <v>2.47500526093717</v>
      </c>
      <c r="K129">
        <f t="shared" si="23"/>
        <v>-2.47500526093717</v>
      </c>
      <c r="L129">
        <f t="shared" si="26"/>
        <v>0.99333828933937007</v>
      </c>
      <c r="M129">
        <f t="shared" si="27"/>
        <v>6.6617106606299426E-3</v>
      </c>
      <c r="N129">
        <f t="shared" si="28"/>
        <v>0.24046340359293933</v>
      </c>
      <c r="O129">
        <f t="shared" si="24"/>
        <v>0.16722046677474214</v>
      </c>
      <c r="P129" s="31">
        <f t="shared" si="29"/>
        <v>0.24046340359293933</v>
      </c>
    </row>
    <row r="130" spans="2:16" x14ac:dyDescent="0.3">
      <c r="B130" s="29">
        <v>24.5</v>
      </c>
      <c r="C130" s="29">
        <f t="shared" si="30"/>
        <v>0.23544999999999999</v>
      </c>
      <c r="D130" s="1">
        <f t="shared" si="30"/>
        <v>3.5195000000000004E-2</v>
      </c>
      <c r="E130" s="28">
        <f t="shared" si="30"/>
        <v>3.8420000000000003E-2</v>
      </c>
      <c r="F130">
        <f t="shared" si="20"/>
        <v>3.4589814768290691E-2</v>
      </c>
      <c r="G130">
        <f t="shared" si="21"/>
        <v>0.42850603294589512</v>
      </c>
      <c r="H130" s="43">
        <f>calcCapValue($B$33:$B130, $E$33:$E130, $E130, C130, 0.25, $G$33:G130)</f>
        <v>0.17288863000010246</v>
      </c>
      <c r="I130">
        <f t="shared" si="25"/>
        <v>1.8422533621076376E-3</v>
      </c>
      <c r="J130" s="29">
        <f t="shared" si="22"/>
        <v>2.487598104577367</v>
      </c>
      <c r="K130">
        <f t="shared" si="23"/>
        <v>-2.487598104577367</v>
      </c>
      <c r="L130">
        <f t="shared" si="26"/>
        <v>0.99356955115882428</v>
      </c>
      <c r="M130">
        <f t="shared" si="27"/>
        <v>6.4304488411757376E-3</v>
      </c>
      <c r="N130">
        <f t="shared" si="28"/>
        <v>0.24008301717903258</v>
      </c>
      <c r="O130">
        <f t="shared" si="24"/>
        <v>0.16357535555406352</v>
      </c>
      <c r="P130" s="31">
        <f t="shared" si="29"/>
        <v>0.24008301717903258</v>
      </c>
    </row>
    <row r="131" spans="2:16" x14ac:dyDescent="0.3">
      <c r="B131" s="29">
        <v>24.75</v>
      </c>
      <c r="C131" s="29">
        <f t="shared" si="30"/>
        <v>0.23497499999999999</v>
      </c>
      <c r="D131" s="1">
        <f t="shared" si="30"/>
        <v>3.52325E-2</v>
      </c>
      <c r="E131" s="28">
        <f t="shared" si="30"/>
        <v>3.8345000000000004E-2</v>
      </c>
      <c r="F131">
        <f t="shared" si="20"/>
        <v>3.4626039171225843E-2</v>
      </c>
      <c r="G131">
        <f t="shared" si="21"/>
        <v>0.42443582204071495</v>
      </c>
      <c r="H131" s="43">
        <f>calcCapValue($B$33:$B131, $E$33:$E131, $E131, C131, 0.25, $G$33:G131)</f>
        <v>0.17471549849679657</v>
      </c>
      <c r="I131">
        <f t="shared" si="25"/>
        <v>1.8268684966941118E-3</v>
      </c>
      <c r="J131" s="29">
        <f t="shared" si="22"/>
        <v>2.5001275477667217</v>
      </c>
      <c r="K131">
        <f t="shared" si="23"/>
        <v>-2.5001275477667217</v>
      </c>
      <c r="L131">
        <f t="shared" si="26"/>
        <v>0.99379257001339061</v>
      </c>
      <c r="M131">
        <f t="shared" si="27"/>
        <v>6.2074299866094031E-3</v>
      </c>
      <c r="N131">
        <f t="shared" si="28"/>
        <v>0.23970651696255177</v>
      </c>
      <c r="O131">
        <f t="shared" si="24"/>
        <v>0.15999730230240972</v>
      </c>
      <c r="P131" s="31">
        <f t="shared" si="29"/>
        <v>0.23970651696255177</v>
      </c>
    </row>
    <row r="132" spans="2:16" x14ac:dyDescent="0.3">
      <c r="B132" s="47">
        <v>25</v>
      </c>
      <c r="C132" s="47">
        <f>$P$4</f>
        <v>0.23449999999999999</v>
      </c>
      <c r="D132" s="48">
        <f>$P$3</f>
        <v>3.5270000000000003E-2</v>
      </c>
      <c r="E132" s="49">
        <f>$P$5</f>
        <v>3.8270000000000005E-2</v>
      </c>
      <c r="F132" s="46">
        <f t="shared" si="20"/>
        <v>3.4662262262001163E-2</v>
      </c>
      <c r="G132" s="46">
        <f t="shared" si="21"/>
        <v>0.42039667188685637</v>
      </c>
      <c r="H132" s="45">
        <f>calcCapValue($B$33:$B132, $E$33:$E132, $E132, C132, 0.25, $G$33:G132)</f>
        <v>0.17652700729626269</v>
      </c>
      <c r="I132" s="46">
        <f t="shared" si="25"/>
        <v>1.8115087994661216E-3</v>
      </c>
      <c r="J132" s="47">
        <f t="shared" si="22"/>
        <v>2.5125945381480301</v>
      </c>
      <c r="K132" s="46">
        <f t="shared" si="23"/>
        <v>-2.5125945381480301</v>
      </c>
      <c r="L132" s="46">
        <f t="shared" si="26"/>
        <v>0.99400765053860662</v>
      </c>
      <c r="M132" s="46">
        <f t="shared" si="27"/>
        <v>5.9923494613933447E-3</v>
      </c>
      <c r="N132" s="46">
        <f t="shared" si="28"/>
        <v>0.23933404652988821</v>
      </c>
      <c r="O132" s="46">
        <f t="shared" si="24"/>
        <v>0.15648558325922554</v>
      </c>
      <c r="P132" s="31">
        <f t="shared" si="29"/>
        <v>0.23933404652988821</v>
      </c>
    </row>
    <row r="133" spans="2:16" x14ac:dyDescent="0.3">
      <c r="B133" s="29">
        <v>25.25</v>
      </c>
      <c r="C133" s="29">
        <f>C$132+(($B133-$B$132)*((C$152-C$132)/($B$152-$B$132)))</f>
        <v>0.23409999999999997</v>
      </c>
      <c r="D133" s="1">
        <f>D$132+(($B133-$B$132)*((D$152-D$132)/($B$152-$B$132)))</f>
        <v>3.5287000000000006E-2</v>
      </c>
      <c r="E133" s="28">
        <f>E$132+(($B133-$B$132)*((E$152-E$132)/($B$152-$B$132)))</f>
        <v>3.8222000000000006E-2</v>
      </c>
      <c r="F133">
        <f t="shared" si="20"/>
        <v>3.4678682964257163E-2</v>
      </c>
      <c r="G133">
        <f t="shared" si="21"/>
        <v>0.41659666942453133</v>
      </c>
      <c r="H133" s="43">
        <f>calcCapValue($B$33:$B133, $E$33:$E133, $E133, C133, 0.25, $G$33:G133)</f>
        <v>0.17824827377568939</v>
      </c>
      <c r="I133">
        <f t="shared" si="25"/>
        <v>1.7212664794266919E-3</v>
      </c>
      <c r="J133" s="29">
        <f t="shared" ref="J133:J153" si="31">((LOG(E133/(E133))+(N133^2)*(B133/2))/((N133^2)*SQRT(B133-0.25)))</f>
        <v>2.5250000000000004</v>
      </c>
      <c r="K133">
        <f t="shared" ref="K133:K153" si="32">((LOG(E133/(E133))-(N133^2)*(B133/2))/((N133^2)*SQRT(B133-0.25)))</f>
        <v>-2.5250000000000004</v>
      </c>
      <c r="L133">
        <f t="shared" si="26"/>
        <v>0.99421508553517557</v>
      </c>
      <c r="M133">
        <f t="shared" si="27"/>
        <v>5.7849144648244302E-3</v>
      </c>
      <c r="N133">
        <f t="shared" si="28"/>
        <v>0.22749717827165028</v>
      </c>
      <c r="O133">
        <f t="shared" ref="O133:O153" si="33">($I133-(G133*0.25*100*(E133*L133-(E133)*M133)))^2</f>
        <v>0.15346961043858862</v>
      </c>
      <c r="P133" s="31">
        <f t="shared" si="29"/>
        <v>0.22749717827165028</v>
      </c>
    </row>
    <row r="134" spans="2:16" x14ac:dyDescent="0.3">
      <c r="B134" s="29">
        <v>25.5</v>
      </c>
      <c r="C134" s="29">
        <f t="shared" ref="C134:E151" si="34">C$132+(($B134-$B$132)*((C$152-C$132)/($B$152-$B$132)))</f>
        <v>0.23369999999999999</v>
      </c>
      <c r="D134" s="1">
        <f t="shared" si="34"/>
        <v>3.5304000000000002E-2</v>
      </c>
      <c r="E134" s="28">
        <f t="shared" si="34"/>
        <v>3.8174000000000007E-2</v>
      </c>
      <c r="F134">
        <f t="shared" si="20"/>
        <v>3.469510339687791E-2</v>
      </c>
      <c r="G134">
        <f t="shared" si="21"/>
        <v>0.41282762888321251</v>
      </c>
      <c r="H134" s="43">
        <f>calcCapValue($B$33:$B134, $E$33:$E134, $E134, C134, 0.25, $G$33:G134)</f>
        <v>0.17995573578682117</v>
      </c>
      <c r="I134">
        <f t="shared" si="25"/>
        <v>1.7074620111317829E-3</v>
      </c>
      <c r="J134" s="29">
        <f t="shared" si="31"/>
        <v>2.5373448350354724</v>
      </c>
      <c r="K134">
        <f t="shared" si="32"/>
        <v>-2.5373448350354724</v>
      </c>
      <c r="L134">
        <f t="shared" si="26"/>
        <v>0.99441515646119083</v>
      </c>
      <c r="M134">
        <f t="shared" si="27"/>
        <v>5.5848435388091196E-3</v>
      </c>
      <c r="N134">
        <f t="shared" si="28"/>
        <v>0.2269595753285584</v>
      </c>
      <c r="O134">
        <f t="shared" si="33"/>
        <v>0.15044618512944777</v>
      </c>
      <c r="P134" s="31">
        <f t="shared" si="29"/>
        <v>0.2269595753285584</v>
      </c>
    </row>
    <row r="135" spans="2:16" x14ac:dyDescent="0.3">
      <c r="B135" s="29">
        <v>25.75</v>
      </c>
      <c r="C135" s="29">
        <f t="shared" si="34"/>
        <v>0.23329999999999998</v>
      </c>
      <c r="D135" s="1">
        <f t="shared" si="34"/>
        <v>3.5321000000000005E-2</v>
      </c>
      <c r="E135" s="28">
        <f t="shared" si="34"/>
        <v>3.8126000000000007E-2</v>
      </c>
      <c r="F135">
        <f t="shared" si="20"/>
        <v>3.4711523559872483E-2</v>
      </c>
      <c r="G135">
        <f t="shared" si="21"/>
        <v>0.40908933178478718</v>
      </c>
      <c r="H135" s="43">
        <f>calcCapValue($B$33:$B135, $E$33:$E135, $E135, C135, 0.25, $G$33:G135)</f>
        <v>0.1816494006310676</v>
      </c>
      <c r="I135">
        <f t="shared" si="25"/>
        <v>1.6936648442464342E-3</v>
      </c>
      <c r="J135" s="29">
        <f t="shared" si="31"/>
        <v>2.5496299231649364</v>
      </c>
      <c r="K135">
        <f t="shared" si="32"/>
        <v>-2.5496299231649364</v>
      </c>
      <c r="L135">
        <f t="shared" si="26"/>
        <v>0.99460813390195879</v>
      </c>
      <c r="M135">
        <f t="shared" si="27"/>
        <v>5.3918660980412231E-3</v>
      </c>
      <c r="N135">
        <f t="shared" si="28"/>
        <v>0.22642148256446129</v>
      </c>
      <c r="O135">
        <f t="shared" si="33"/>
        <v>0.14747520153301158</v>
      </c>
      <c r="P135" s="31">
        <f t="shared" si="29"/>
        <v>0.22642148256446129</v>
      </c>
    </row>
    <row r="136" spans="2:16" x14ac:dyDescent="0.3">
      <c r="B136" s="29">
        <v>26</v>
      </c>
      <c r="C136" s="29">
        <f t="shared" si="34"/>
        <v>0.2329</v>
      </c>
      <c r="D136" s="1">
        <f t="shared" si="34"/>
        <v>3.5338000000000001E-2</v>
      </c>
      <c r="E136" s="28">
        <f t="shared" si="34"/>
        <v>3.8078000000000001E-2</v>
      </c>
      <c r="F136">
        <f t="shared" si="20"/>
        <v>3.4727943453249942E-2</v>
      </c>
      <c r="G136">
        <f t="shared" si="21"/>
        <v>0.40538156087321953</v>
      </c>
      <c r="H136" s="43">
        <f>calcCapValue($B$33:$B136, $E$33:$E136, $E136, C136, 0.25, $G$33:G136)</f>
        <v>0.18332927889640735</v>
      </c>
      <c r="I136">
        <f t="shared" si="25"/>
        <v>1.6798782653397459E-3</v>
      </c>
      <c r="J136" s="29">
        <f t="shared" si="31"/>
        <v>2.5618561232271624</v>
      </c>
      <c r="K136">
        <f t="shared" si="32"/>
        <v>-2.5618561232271624</v>
      </c>
      <c r="L136">
        <f t="shared" si="26"/>
        <v>0.99479427801855791</v>
      </c>
      <c r="M136">
        <f t="shared" si="27"/>
        <v>5.2057219814420491E-3</v>
      </c>
      <c r="N136">
        <f t="shared" si="28"/>
        <v>0.22588293160622347</v>
      </c>
      <c r="O136">
        <f t="shared" si="33"/>
        <v>0.14455606360026696</v>
      </c>
      <c r="P136" s="31">
        <f t="shared" si="29"/>
        <v>0.22588293160622347</v>
      </c>
    </row>
    <row r="137" spans="2:16" x14ac:dyDescent="0.3">
      <c r="B137" s="29">
        <v>26.25</v>
      </c>
      <c r="C137" s="29">
        <f t="shared" si="34"/>
        <v>0.23249999999999998</v>
      </c>
      <c r="D137" s="1">
        <f t="shared" si="34"/>
        <v>3.5355000000000004E-2</v>
      </c>
      <c r="E137" s="28">
        <f t="shared" si="34"/>
        <v>3.8030000000000001E-2</v>
      </c>
      <c r="F137">
        <f t="shared" si="20"/>
        <v>3.4744363077018711E-2</v>
      </c>
      <c r="G137">
        <f t="shared" si="21"/>
        <v>0.40170410011062507</v>
      </c>
      <c r="H137" s="43">
        <f>calcCapValue($B$33:$B137, $E$33:$E137, $E137, C137, 0.25, $G$33:G137)</f>
        <v>0.18499538434616694</v>
      </c>
      <c r="I137">
        <f t="shared" si="25"/>
        <v>1.6661054497595917E-3</v>
      </c>
      <c r="J137" s="29">
        <f t="shared" si="31"/>
        <v>2.5740242736886656</v>
      </c>
      <c r="K137">
        <f t="shared" si="32"/>
        <v>-2.5740242736886656</v>
      </c>
      <c r="L137">
        <f t="shared" si="26"/>
        <v>0.99497383897621183</v>
      </c>
      <c r="M137">
        <f t="shared" si="27"/>
        <v>5.0261610237881454E-3</v>
      </c>
      <c r="N137">
        <f t="shared" si="28"/>
        <v>0.225343954342902</v>
      </c>
      <c r="O137">
        <f t="shared" si="33"/>
        <v>0.14168816425919509</v>
      </c>
      <c r="P137" s="31">
        <f t="shared" si="29"/>
        <v>0.225343954342902</v>
      </c>
    </row>
    <row r="138" spans="2:16" x14ac:dyDescent="0.3">
      <c r="B138" s="29">
        <v>26.5</v>
      </c>
      <c r="C138" s="29">
        <f t="shared" si="34"/>
        <v>0.2321</v>
      </c>
      <c r="D138" s="1">
        <f t="shared" si="34"/>
        <v>3.5372000000000001E-2</v>
      </c>
      <c r="E138" s="28">
        <f t="shared" si="34"/>
        <v>3.7982000000000002E-2</v>
      </c>
      <c r="F138">
        <f t="shared" si="20"/>
        <v>3.4760782431187867E-2</v>
      </c>
      <c r="G138">
        <f t="shared" si="21"/>
        <v>0.39805673467330932</v>
      </c>
      <c r="H138" s="43">
        <f>calcCapValue($B$33:$B138, $E$33:$E138, $E138, C138, 0.25, $G$33:G138)</f>
        <v>0.18664773381126884</v>
      </c>
      <c r="I138">
        <f t="shared" si="25"/>
        <v>1.6523494651018988E-3</v>
      </c>
      <c r="J138" s="29">
        <f t="shared" si="31"/>
        <v>2.5861351933136127</v>
      </c>
      <c r="K138">
        <f t="shared" si="32"/>
        <v>-2.5861351933136127</v>
      </c>
      <c r="L138">
        <f t="shared" si="26"/>
        <v>0.99514705735348608</v>
      </c>
      <c r="M138">
        <f t="shared" si="27"/>
        <v>4.8529426465139004E-3</v>
      </c>
      <c r="N138">
        <f t="shared" si="28"/>
        <v>0.22480458294849537</v>
      </c>
      <c r="O138">
        <f t="shared" si="33"/>
        <v>0.13887088682138019</v>
      </c>
      <c r="P138" s="31">
        <f t="shared" si="29"/>
        <v>0.22480458294849537</v>
      </c>
    </row>
    <row r="139" spans="2:16" x14ac:dyDescent="0.3">
      <c r="B139" s="29">
        <v>26.75</v>
      </c>
      <c r="C139" s="29">
        <f t="shared" si="34"/>
        <v>0.23169999999999999</v>
      </c>
      <c r="D139" s="1">
        <f t="shared" si="34"/>
        <v>3.5389000000000004E-2</v>
      </c>
      <c r="E139" s="28">
        <f t="shared" si="34"/>
        <v>3.7934000000000002E-2</v>
      </c>
      <c r="F139">
        <f t="shared" si="20"/>
        <v>3.4777201515766257E-2</v>
      </c>
      <c r="G139">
        <f t="shared" si="21"/>
        <v>0.39443925094781551</v>
      </c>
      <c r="H139" s="43">
        <f>calcCapValue($B$33:$B139, $E$33:$E139, $E139, C139, 0.25, $G$33:G139)</f>
        <v>0.18828634708581693</v>
      </c>
      <c r="I139">
        <f t="shared" si="25"/>
        <v>1.6386132745480897E-3</v>
      </c>
      <c r="J139" s="29">
        <f t="shared" si="31"/>
        <v>2.5981896818056818</v>
      </c>
      <c r="K139">
        <f t="shared" si="32"/>
        <v>-2.5981896818056818</v>
      </c>
      <c r="L139">
        <f t="shared" si="26"/>
        <v>0.99531416453326627</v>
      </c>
      <c r="M139">
        <f t="shared" si="27"/>
        <v>4.6858354667337187E-3</v>
      </c>
      <c r="N139">
        <f t="shared" si="28"/>
        <v>0.22426484990338408</v>
      </c>
      <c r="O139">
        <f t="shared" si="33"/>
        <v>0.13610360629666732</v>
      </c>
      <c r="P139" s="31">
        <f t="shared" si="29"/>
        <v>0.22426484990338408</v>
      </c>
    </row>
    <row r="140" spans="2:16" x14ac:dyDescent="0.3">
      <c r="B140" s="29">
        <v>27</v>
      </c>
      <c r="C140" s="29">
        <f t="shared" si="34"/>
        <v>0.23130000000000001</v>
      </c>
      <c r="D140" s="1">
        <f t="shared" si="34"/>
        <v>3.5406E-2</v>
      </c>
      <c r="E140" s="28">
        <f t="shared" si="34"/>
        <v>3.7886000000000003E-2</v>
      </c>
      <c r="F140">
        <f t="shared" si="20"/>
        <v>3.4793620330762949E-2</v>
      </c>
      <c r="G140">
        <f t="shared" si="21"/>
        <v>0.39085143652694454</v>
      </c>
      <c r="H140" s="43">
        <f>calcCapValue($B$33:$B140, $E$33:$E140, $E140, C140, 0.25, $G$33:G140)</f>
        <v>0.18991124682590696</v>
      </c>
      <c r="I140">
        <f t="shared" si="25"/>
        <v>1.62489974009003E-3</v>
      </c>
      <c r="J140" s="29">
        <f t="shared" si="31"/>
        <v>2.6101885204232915</v>
      </c>
      <c r="K140">
        <f t="shared" si="32"/>
        <v>-2.6101885204232915</v>
      </c>
      <c r="L140">
        <f t="shared" si="26"/>
        <v>0.99547538307641759</v>
      </c>
      <c r="M140">
        <f t="shared" si="27"/>
        <v>4.5246169235823846E-3</v>
      </c>
      <c r="N140">
        <f t="shared" si="28"/>
        <v>0.22372478801659254</v>
      </c>
      <c r="O140">
        <f t="shared" si="33"/>
        <v>0.13338569062121991</v>
      </c>
      <c r="P140" s="31">
        <f t="shared" si="29"/>
        <v>0.22372478801659254</v>
      </c>
    </row>
    <row r="141" spans="2:16" x14ac:dyDescent="0.3">
      <c r="B141" s="29">
        <v>27.25</v>
      </c>
      <c r="C141" s="29">
        <f t="shared" si="34"/>
        <v>0.23089999999999999</v>
      </c>
      <c r="D141" s="1">
        <f t="shared" si="34"/>
        <v>3.5423000000000003E-2</v>
      </c>
      <c r="E141" s="28">
        <f t="shared" si="34"/>
        <v>3.7838000000000004E-2</v>
      </c>
      <c r="F141">
        <f t="shared" si="20"/>
        <v>3.4810038876186368E-2</v>
      </c>
      <c r="G141">
        <f t="shared" si="21"/>
        <v>0.38729308020577469</v>
      </c>
      <c r="H141" s="43">
        <f>calcCapValue($B$33:$B141, $E$33:$E141, $E141, C141, 0.25, $G$33:G141)</f>
        <v>0.19152245845154089</v>
      </c>
      <c r="I141">
        <f t="shared" si="25"/>
        <v>1.6112116256339348E-3</v>
      </c>
      <c r="J141" s="29">
        <f t="shared" si="31"/>
        <v>2.6221324725695503</v>
      </c>
      <c r="K141">
        <f t="shared" si="32"/>
        <v>-2.6221324725695503</v>
      </c>
      <c r="L141">
        <f t="shared" si="26"/>
        <v>0.9956309270789776</v>
      </c>
      <c r="M141">
        <f t="shared" si="27"/>
        <v>4.3690729210223451E-3</v>
      </c>
      <c r="N141">
        <f t="shared" si="28"/>
        <v>0.22318443044678413</v>
      </c>
      <c r="O141">
        <f t="shared" si="33"/>
        <v>0.13071650180409142</v>
      </c>
      <c r="P141" s="31">
        <f t="shared" si="29"/>
        <v>0.22318443044678413</v>
      </c>
    </row>
    <row r="142" spans="2:16" x14ac:dyDescent="0.3">
      <c r="B142" s="29">
        <v>27.5</v>
      </c>
      <c r="C142" s="29">
        <f t="shared" si="34"/>
        <v>0.23049999999999998</v>
      </c>
      <c r="D142" s="1">
        <f t="shared" si="34"/>
        <v>3.5439999999999999E-2</v>
      </c>
      <c r="E142" s="28">
        <f t="shared" si="34"/>
        <v>3.7790000000000004E-2</v>
      </c>
      <c r="F142">
        <f t="shared" si="20"/>
        <v>3.4826457152045576E-2</v>
      </c>
      <c r="G142">
        <f t="shared" si="21"/>
        <v>0.38376397197764633</v>
      </c>
      <c r="H142" s="43">
        <f>calcCapValue($B$33:$B142, $E$33:$E142, $E142, C142, 0.25, $G$33:G142)</f>
        <v>0.19312001005154081</v>
      </c>
      <c r="I142">
        <f t="shared" si="25"/>
        <v>1.5975515999999135E-3</v>
      </c>
      <c r="J142" s="29">
        <f t="shared" si="31"/>
        <v>2.6340222843581658</v>
      </c>
      <c r="K142">
        <f t="shared" si="32"/>
        <v>-2.6340222843581658</v>
      </c>
      <c r="L142">
        <f t="shared" si="26"/>
        <v>0.99578100251368562</v>
      </c>
      <c r="M142">
        <f t="shared" si="27"/>
        <v>4.218997486314411E-3</v>
      </c>
      <c r="N142">
        <f t="shared" si="28"/>
        <v>0.2226438107238175</v>
      </c>
      <c r="O142">
        <f t="shared" si="33"/>
        <v>0.12809539699706884</v>
      </c>
      <c r="P142" s="31">
        <f t="shared" si="29"/>
        <v>0.2226438107238175</v>
      </c>
    </row>
    <row r="143" spans="2:16" x14ac:dyDescent="0.3">
      <c r="B143" s="29">
        <v>27.75</v>
      </c>
      <c r="C143" s="29">
        <f t="shared" si="34"/>
        <v>0.2301</v>
      </c>
      <c r="D143" s="1">
        <f t="shared" si="34"/>
        <v>3.5457000000000002E-2</v>
      </c>
      <c r="E143" s="28">
        <f t="shared" si="34"/>
        <v>3.7741999999999998E-2</v>
      </c>
      <c r="F143">
        <f t="shared" si="20"/>
        <v>3.4842875158349648E-2</v>
      </c>
      <c r="G143">
        <f t="shared" si="21"/>
        <v>0.38026390303015295</v>
      </c>
      <c r="H143" s="43">
        <f>calcCapValue($B$33:$B143, $E$33:$E143, $E143, C143, 0.25, $G$33:G143)</f>
        <v>0.19470393229135405</v>
      </c>
      <c r="I143">
        <f t="shared" si="25"/>
        <v>1.5839222398132402E-3</v>
      </c>
      <c r="J143" s="29">
        <f t="shared" si="31"/>
        <v>2.6458586851565182</v>
      </c>
      <c r="K143">
        <f t="shared" si="32"/>
        <v>-2.6458586851565182</v>
      </c>
      <c r="L143">
        <f t="shared" si="26"/>
        <v>0.99592580755660809</v>
      </c>
      <c r="M143">
        <f t="shared" si="27"/>
        <v>4.0741924433919507E-3</v>
      </c>
      <c r="N143">
        <f t="shared" si="28"/>
        <v>0.22210296276953739</v>
      </c>
      <c r="O143">
        <f t="shared" si="33"/>
        <v>0.12552172949233453</v>
      </c>
      <c r="P143" s="31">
        <f t="shared" si="29"/>
        <v>0.22210296276953739</v>
      </c>
    </row>
    <row r="144" spans="2:16" x14ac:dyDescent="0.3">
      <c r="B144" s="29">
        <v>28</v>
      </c>
      <c r="C144" s="29">
        <f t="shared" si="34"/>
        <v>0.22969999999999999</v>
      </c>
      <c r="D144" s="1">
        <f t="shared" si="34"/>
        <v>3.5474000000000006E-2</v>
      </c>
      <c r="E144" s="28">
        <f t="shared" si="34"/>
        <v>3.7693999999999998E-2</v>
      </c>
      <c r="F144">
        <f t="shared" si="20"/>
        <v>3.4859292895106996E-2</v>
      </c>
      <c r="G144">
        <f t="shared" si="21"/>
        <v>0.37679266574112052</v>
      </c>
      <c r="H144" s="43">
        <f>calcCapValue($B$33:$B144, $E$33:$E144, $E144, C144, 0.25, $G$33:G144)</f>
        <v>0.19627425832365233</v>
      </c>
      <c r="I144">
        <f t="shared" si="25"/>
        <v>1.5703260322982859E-3</v>
      </c>
      <c r="J144" s="29">
        <f t="shared" si="31"/>
        <v>2.6576423881069968</v>
      </c>
      <c r="K144">
        <f t="shared" si="32"/>
        <v>-2.6576423881069968</v>
      </c>
      <c r="L144">
        <f t="shared" si="26"/>
        <v>0.99606553289957933</v>
      </c>
      <c r="M144">
        <f t="shared" si="27"/>
        <v>3.9344671004206402E-3</v>
      </c>
      <c r="N144">
        <f t="shared" si="28"/>
        <v>0.22156192091883187</v>
      </c>
      <c r="O144">
        <f t="shared" si="33"/>
        <v>0.12299484965218559</v>
      </c>
      <c r="P144" s="31">
        <f t="shared" si="29"/>
        <v>0.22156192091883187</v>
      </c>
    </row>
    <row r="145" spans="2:16" x14ac:dyDescent="0.3">
      <c r="B145" s="29">
        <v>28.25</v>
      </c>
      <c r="C145" s="29">
        <f t="shared" si="34"/>
        <v>0.2293</v>
      </c>
      <c r="D145" s="1">
        <f t="shared" si="34"/>
        <v>3.5491000000000002E-2</v>
      </c>
      <c r="E145" s="28">
        <f t="shared" si="34"/>
        <v>3.7645999999999999E-2</v>
      </c>
      <c r="F145">
        <f t="shared" si="20"/>
        <v>3.4875710362326687E-2</v>
      </c>
      <c r="G145">
        <f t="shared" si="21"/>
        <v>0.37335005367455365</v>
      </c>
      <c r="H145" s="43">
        <f>calcCapValue($B$33:$B145, $E$33:$E145, $E145, C145, 0.25, $G$33:G145)</f>
        <v>0.19783102370162717</v>
      </c>
      <c r="I145">
        <f t="shared" si="25"/>
        <v>1.5567653779748336E-3</v>
      </c>
      <c r="J145" s="29">
        <f t="shared" si="31"/>
        <v>2.6693740906276675</v>
      </c>
      <c r="K145">
        <f t="shared" si="32"/>
        <v>-2.6693740906276675</v>
      </c>
      <c r="L145">
        <f t="shared" si="26"/>
        <v>0.99620036204913576</v>
      </c>
      <c r="M145">
        <f t="shared" si="27"/>
        <v>3.7996379508642361E-3</v>
      </c>
      <c r="N145">
        <f t="shared" si="28"/>
        <v>0.22102071994029196</v>
      </c>
      <c r="O145">
        <f t="shared" si="33"/>
        <v>0.12051410577480723</v>
      </c>
      <c r="P145" s="31">
        <f t="shared" si="29"/>
        <v>0.22102071994029196</v>
      </c>
    </row>
    <row r="146" spans="2:16" x14ac:dyDescent="0.3">
      <c r="B146" s="29">
        <v>28.5</v>
      </c>
      <c r="C146" s="29">
        <f t="shared" si="34"/>
        <v>0.22889999999999999</v>
      </c>
      <c r="D146" s="1">
        <f t="shared" si="34"/>
        <v>3.5508000000000005E-2</v>
      </c>
      <c r="E146" s="28">
        <f t="shared" si="34"/>
        <v>3.7597999999999999E-2</v>
      </c>
      <c r="F146">
        <f t="shared" si="20"/>
        <v>3.4892127560017791E-2</v>
      </c>
      <c r="G146">
        <f t="shared" si="21"/>
        <v>0.36993586157659025</v>
      </c>
      <c r="H146" s="43">
        <f>calcCapValue($B$33:$B146, $E$33:$E146, $E146, C146, 0.25, $G$33:G146)</f>
        <v>0.19937426629488963</v>
      </c>
      <c r="I146">
        <f t="shared" si="25"/>
        <v>1.5432425932624672E-3</v>
      </c>
      <c r="J146" s="29">
        <f t="shared" si="31"/>
        <v>2.6810544748932519</v>
      </c>
      <c r="K146">
        <f t="shared" si="32"/>
        <v>-2.6810544748932519</v>
      </c>
      <c r="L146">
        <f t="shared" si="26"/>
        <v>0.99633047161258614</v>
      </c>
      <c r="M146">
        <f t="shared" si="27"/>
        <v>3.6695283874138623E-3</v>
      </c>
      <c r="N146">
        <f t="shared" si="28"/>
        <v>0.22047939505672368</v>
      </c>
      <c r="O146">
        <f t="shared" si="33"/>
        <v>0.11807884489990755</v>
      </c>
      <c r="P146" s="31">
        <f t="shared" si="29"/>
        <v>0.22047939505672368</v>
      </c>
    </row>
    <row r="147" spans="2:16" x14ac:dyDescent="0.3">
      <c r="B147" s="29">
        <v>28.75</v>
      </c>
      <c r="C147" s="29">
        <f t="shared" si="34"/>
        <v>0.22850000000000001</v>
      </c>
      <c r="D147" s="1">
        <f t="shared" si="34"/>
        <v>3.5525000000000001E-2</v>
      </c>
      <c r="E147" s="28">
        <f t="shared" si="34"/>
        <v>3.755E-2</v>
      </c>
      <c r="F147">
        <f t="shared" si="20"/>
        <v>3.4908544488188725E-2</v>
      </c>
      <c r="G147">
        <f t="shared" si="21"/>
        <v>0.36654988537144467</v>
      </c>
      <c r="H147" s="43">
        <f>calcCapValue($B$33:$B147, $E$33:$E147, $E147, C147, 0.25, $G$33:G147)</f>
        <v>0.20090402620788894</v>
      </c>
      <c r="I147">
        <f t="shared" si="25"/>
        <v>1.5297599129993067E-3</v>
      </c>
      <c r="J147" s="29">
        <f t="shared" si="31"/>
        <v>2.6926842082973699</v>
      </c>
      <c r="K147">
        <f t="shared" si="32"/>
        <v>-2.6926842082973699</v>
      </c>
      <c r="L147">
        <f t="shared" si="26"/>
        <v>0.99645603157182794</v>
      </c>
      <c r="M147">
        <f t="shared" si="27"/>
        <v>3.5439684281720176E-3</v>
      </c>
      <c r="N147">
        <f t="shared" si="28"/>
        <v>0.2199379819659408</v>
      </c>
      <c r="O147">
        <f t="shared" si="33"/>
        <v>0.11568841355775816</v>
      </c>
      <c r="P147" s="31">
        <f t="shared" si="29"/>
        <v>0.2199379819659408</v>
      </c>
    </row>
    <row r="148" spans="2:16" x14ac:dyDescent="0.3">
      <c r="B148" s="29">
        <v>29</v>
      </c>
      <c r="C148" s="29">
        <f t="shared" si="34"/>
        <v>0.2281</v>
      </c>
      <c r="D148" s="1">
        <f t="shared" si="34"/>
        <v>3.5542000000000004E-2</v>
      </c>
      <c r="E148" s="28">
        <f t="shared" si="34"/>
        <v>3.7502000000000001E-2</v>
      </c>
      <c r="F148">
        <f t="shared" si="20"/>
        <v>3.4924961146848552E-2</v>
      </c>
      <c r="G148">
        <f t="shared" si="21"/>
        <v>0.36319192215731916</v>
      </c>
      <c r="H148" s="43">
        <f>calcCapValue($B$33:$B148, $E$33:$E148, $E148, C148, 0.25, $G$33:G148)</f>
        <v>0.20242034570076273</v>
      </c>
      <c r="I148">
        <f t="shared" si="25"/>
        <v>1.5163194928737855E-3</v>
      </c>
      <c r="J148" s="29">
        <f t="shared" si="31"/>
        <v>2.70426394389691</v>
      </c>
      <c r="K148">
        <f t="shared" si="32"/>
        <v>-2.70426394389691</v>
      </c>
      <c r="L148">
        <f t="shared" si="26"/>
        <v>0.99657720554548468</v>
      </c>
      <c r="M148">
        <f t="shared" si="27"/>
        <v>3.4227944545152881E-3</v>
      </c>
      <c r="N148">
        <f t="shared" si="28"/>
        <v>0.21939651686109063</v>
      </c>
      <c r="O148">
        <f t="shared" si="33"/>
        <v>0.11334215846499027</v>
      </c>
      <c r="P148" s="31">
        <f t="shared" si="29"/>
        <v>0.21939651686109063</v>
      </c>
    </row>
    <row r="149" spans="2:16" x14ac:dyDescent="0.3">
      <c r="B149" s="29">
        <v>29.25</v>
      </c>
      <c r="C149" s="29">
        <f t="shared" si="34"/>
        <v>0.22770000000000001</v>
      </c>
      <c r="D149" s="1">
        <f t="shared" si="34"/>
        <v>3.5559E-2</v>
      </c>
      <c r="E149" s="28">
        <f t="shared" si="34"/>
        <v>3.7453999999999994E-2</v>
      </c>
      <c r="F149">
        <f t="shared" si="20"/>
        <v>3.4941377536006117E-2</v>
      </c>
      <c r="G149">
        <f t="shared" si="21"/>
        <v>0.35986177020232657</v>
      </c>
      <c r="H149" s="43">
        <f>calcCapValue($B$33:$B149, $E$33:$E149, $E149, C149, 0.25, $G$33:G149)</f>
        <v>0.20392326911253983</v>
      </c>
      <c r="I149">
        <f t="shared" si="25"/>
        <v>1.5029234117771018E-3</v>
      </c>
      <c r="J149" s="29">
        <f t="shared" si="31"/>
        <v>2.7157943208393833</v>
      </c>
      <c r="K149">
        <f t="shared" si="32"/>
        <v>-2.7157943208393833</v>
      </c>
      <c r="L149">
        <f t="shared" si="26"/>
        <v>0.99669415103991044</v>
      </c>
      <c r="M149">
        <f t="shared" si="27"/>
        <v>3.3058489600895228E-3</v>
      </c>
      <c r="N149">
        <f t="shared" si="28"/>
        <v>0.21885503645116888</v>
      </c>
      <c r="O149">
        <f t="shared" si="33"/>
        <v>0.11103942717033341</v>
      </c>
      <c r="P149" s="31">
        <f t="shared" si="29"/>
        <v>0.21885503645116888</v>
      </c>
    </row>
    <row r="150" spans="2:16" x14ac:dyDescent="0.3">
      <c r="B150" s="29">
        <v>29.5</v>
      </c>
      <c r="C150" s="29">
        <f t="shared" si="34"/>
        <v>0.2273</v>
      </c>
      <c r="D150" s="1">
        <f t="shared" si="34"/>
        <v>3.5576000000000003E-2</v>
      </c>
      <c r="E150" s="28">
        <f t="shared" si="34"/>
        <v>3.7405999999999995E-2</v>
      </c>
      <c r="F150">
        <f t="shared" si="20"/>
        <v>3.4957793655670491E-2</v>
      </c>
      <c r="G150">
        <f t="shared" si="21"/>
        <v>0.35655922894038894</v>
      </c>
      <c r="H150" s="43">
        <f>calcCapValue($B$33:$B150, $E$33:$E150, $E150, C150, 0.25, $G$33:G150)</f>
        <v>0.20541284278661742</v>
      </c>
      <c r="I150">
        <f t="shared" si="25"/>
        <v>1.4895736740775933E-3</v>
      </c>
      <c r="J150" s="29">
        <f t="shared" si="31"/>
        <v>2.727275964774043</v>
      </c>
      <c r="K150">
        <f t="shared" si="32"/>
        <v>-2.727275964774043</v>
      </c>
      <c r="L150">
        <f t="shared" si="26"/>
        <v>0.99680701968957997</v>
      </c>
      <c r="M150">
        <f t="shared" si="27"/>
        <v>3.1929803104200336E-3</v>
      </c>
      <c r="N150">
        <f t="shared" si="28"/>
        <v>0.21831357798144671</v>
      </c>
      <c r="O150">
        <f t="shared" si="33"/>
        <v>0.10877956865325915</v>
      </c>
      <c r="P150" s="31">
        <f t="shared" si="29"/>
        <v>0.21831357798144671</v>
      </c>
    </row>
    <row r="151" spans="2:16" x14ac:dyDescent="0.3">
      <c r="B151" s="29">
        <v>29.75</v>
      </c>
      <c r="C151" s="29">
        <f t="shared" si="34"/>
        <v>0.22690000000000002</v>
      </c>
      <c r="D151" s="1">
        <f t="shared" si="34"/>
        <v>3.5593E-2</v>
      </c>
      <c r="E151" s="28">
        <f t="shared" si="34"/>
        <v>3.7357999999999995E-2</v>
      </c>
      <c r="F151">
        <f t="shared" si="20"/>
        <v>3.497420950585009E-2</v>
      </c>
      <c r="G151">
        <f t="shared" si="21"/>
        <v>0.35328409896713941</v>
      </c>
      <c r="H151" s="43">
        <f>calcCapValue($B$33:$B151, $E$33:$E151, $E151, C151, 0.25, $G$33:G151)</f>
        <v>0.20688911499843926</v>
      </c>
      <c r="I151">
        <f t="shared" si="25"/>
        <v>1.4762722118218385E-3</v>
      </c>
      <c r="J151" s="29">
        <f t="shared" si="31"/>
        <v>2.7387094882475118</v>
      </c>
      <c r="K151">
        <f t="shared" si="32"/>
        <v>-2.7387094882475118</v>
      </c>
      <c r="L151">
        <f t="shared" si="26"/>
        <v>0.99691595748735384</v>
      </c>
      <c r="M151">
        <f t="shared" si="27"/>
        <v>3.0840425126461486E-3</v>
      </c>
      <c r="N151">
        <f t="shared" si="28"/>
        <v>0.21777217925408657</v>
      </c>
      <c r="O151">
        <f t="shared" si="33"/>
        <v>0.1065619338783553</v>
      </c>
      <c r="P151" s="31">
        <f t="shared" si="29"/>
        <v>0.21777217925408657</v>
      </c>
    </row>
    <row r="152" spans="2:16" x14ac:dyDescent="0.3">
      <c r="B152" s="47">
        <v>30</v>
      </c>
      <c r="C152" s="47">
        <f>$Q$4</f>
        <v>0.22650000000000001</v>
      </c>
      <c r="D152" s="48">
        <f>$Q$3</f>
        <v>3.5610000000000003E-2</v>
      </c>
      <c r="E152" s="49">
        <f>$Q$5</f>
        <v>3.7309999999999996E-2</v>
      </c>
      <c r="F152" s="46">
        <f t="shared" si="20"/>
        <v>3.4990625086553977E-2</v>
      </c>
      <c r="G152" s="46">
        <f t="shared" si="21"/>
        <v>0.35003618203579112</v>
      </c>
      <c r="H152" s="45">
        <f>calcCapValue($B$33:$B152, $E$33:$E152, $E152, C152, 0.25, $G$33:G152)</f>
        <v>0.20835213588530227</v>
      </c>
      <c r="I152" s="46">
        <f t="shared" si="25"/>
        <v>1.463020886863009E-3</v>
      </c>
      <c r="J152" s="47">
        <f t="shared" si="31"/>
        <v>2.7500954910846342</v>
      </c>
      <c r="K152" s="46">
        <f t="shared" si="32"/>
        <v>-2.7500954910846342</v>
      </c>
      <c r="L152" s="46">
        <f t="shared" si="26"/>
        <v>0.99702110500508545</v>
      </c>
      <c r="M152" s="46">
        <f t="shared" si="27"/>
        <v>2.9788949949145376E-3</v>
      </c>
      <c r="N152" s="46">
        <f t="shared" si="28"/>
        <v>0.21723087864859619</v>
      </c>
      <c r="O152" s="46">
        <f t="shared" si="33"/>
        <v>0.10438587630806119</v>
      </c>
      <c r="P152" s="31">
        <f t="shared" si="29"/>
        <v>0.21723087864859619</v>
      </c>
    </row>
    <row r="153" spans="2:16" x14ac:dyDescent="0.3">
      <c r="B153" s="29">
        <v>30.25</v>
      </c>
      <c r="C153" s="29">
        <f>C152+((C152-C132)/(B152-B132))*(B153-B152)</f>
        <v>0.2261</v>
      </c>
      <c r="D153" s="1">
        <f>D152+((D152-D132)/(B152-B132))*(B153-B152)</f>
        <v>3.5627000000000006E-2</v>
      </c>
      <c r="E153" s="30">
        <f>E152+((E152-E132)/(B152-B132))*(B153-B152)</f>
        <v>3.7261999999999997E-2</v>
      </c>
      <c r="F153">
        <f t="shared" si="20"/>
        <v>3.5007040397791213E-2</v>
      </c>
      <c r="G153">
        <f t="shared" si="21"/>
        <v>0.34681528105301668</v>
      </c>
      <c r="H153" s="43">
        <f>calcCapValue($B$33:$B153, $E$33:$E153, $E153, C153, 0.25, $G$33:G153)</f>
        <v>0.20980195737822263</v>
      </c>
      <c r="I153">
        <f t="shared" si="25"/>
        <v>1.4498214929203612E-3</v>
      </c>
      <c r="J153" s="29">
        <f t="shared" si="31"/>
        <v>2.7614345607552124</v>
      </c>
      <c r="K153">
        <f t="shared" si="32"/>
        <v>-2.7614345607552124</v>
      </c>
      <c r="L153">
        <f t="shared" si="26"/>
        <v>0.99712259760501021</v>
      </c>
      <c r="M153">
        <f t="shared" si="27"/>
        <v>2.8774023949897486E-3</v>
      </c>
      <c r="N153">
        <f t="shared" si="28"/>
        <v>0.21668971514227645</v>
      </c>
      <c r="O153">
        <f t="shared" si="33"/>
        <v>0.10225075237628692</v>
      </c>
      <c r="P153" s="31">
        <f t="shared" si="29"/>
        <v>0.21668971514227645</v>
      </c>
    </row>
  </sheetData>
  <pageMargins left="0.7" right="0.7" top="0.75" bottom="0.75" header="0.3" footer="0.3"/>
  <pageSetup scale="67" orientation="landscape" verticalDpi="0" r:id="rId1"/>
  <ignoredErrors>
    <ignoredError sqref="H38:H15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Market">
                <anchor moveWithCells="1" sizeWithCells="1">
                  <from>
                    <xdr:col>18</xdr:col>
                    <xdr:colOff>76200</xdr:colOff>
                    <xdr:row>4</xdr:row>
                    <xdr:rowOff>15240</xdr:rowOff>
                  </from>
                  <to>
                    <xdr:col>19</xdr:col>
                    <xdr:colOff>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R7"/>
  <sheetViews>
    <sheetView workbookViewId="0">
      <selection activeCell="C2" sqref="C2"/>
    </sheetView>
  </sheetViews>
  <sheetFormatPr defaultRowHeight="14.4" x14ac:dyDescent="0.3"/>
  <cols>
    <col min="1" max="1" width="18.6640625" customWidth="1"/>
    <col min="2" max="2" width="6.109375" customWidth="1"/>
    <col min="3" max="18" width="8.88671875" style="54"/>
  </cols>
  <sheetData>
    <row r="1" spans="1:18" ht="18" x14ac:dyDescent="0.35">
      <c r="A1" s="96" t="s">
        <v>3</v>
      </c>
      <c r="B1" s="96"/>
      <c r="C1" s="96"/>
      <c r="D1" s="96"/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1:18" x14ac:dyDescent="0.3">
      <c r="A2" s="89" t="s">
        <v>4</v>
      </c>
      <c r="B2" s="90"/>
      <c r="C2" s="23">
        <v>500</v>
      </c>
      <c r="D2" s="19"/>
      <c r="E2" s="19"/>
      <c r="F2" s="20"/>
      <c r="G2"/>
      <c r="H2"/>
      <c r="I2"/>
      <c r="J2"/>
      <c r="K2"/>
      <c r="L2"/>
      <c r="M2"/>
      <c r="N2"/>
      <c r="O2"/>
      <c r="P2"/>
      <c r="Q2"/>
      <c r="R2"/>
    </row>
    <row r="3" spans="1:18" x14ac:dyDescent="0.3">
      <c r="A3" s="91" t="s">
        <v>6</v>
      </c>
      <c r="B3" s="92"/>
      <c r="C3" s="3" t="s">
        <v>31</v>
      </c>
      <c r="D3" s="4"/>
      <c r="E3" s="4"/>
      <c r="F3" s="8"/>
      <c r="G3"/>
      <c r="H3"/>
      <c r="I3"/>
      <c r="J3"/>
      <c r="K3"/>
      <c r="L3"/>
      <c r="M3"/>
      <c r="N3"/>
      <c r="O3"/>
      <c r="P3"/>
      <c r="Q3"/>
      <c r="R3"/>
    </row>
    <row r="4" spans="1:18" x14ac:dyDescent="0.3">
      <c r="A4" s="93" t="s">
        <v>5</v>
      </c>
      <c r="B4" s="94"/>
      <c r="C4" s="84">
        <v>15</v>
      </c>
      <c r="D4" s="10"/>
      <c r="E4" s="10"/>
      <c r="F4" s="11"/>
      <c r="G4"/>
      <c r="H4"/>
      <c r="I4"/>
      <c r="J4"/>
      <c r="K4"/>
      <c r="L4"/>
      <c r="M4"/>
      <c r="N4"/>
      <c r="O4"/>
      <c r="P4"/>
      <c r="Q4"/>
      <c r="R4"/>
    </row>
    <row r="5" spans="1:18" x14ac:dyDescent="0.3"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</row>
    <row r="6" spans="1:18" ht="15.6" x14ac:dyDescent="0.3">
      <c r="A6" s="95" t="s">
        <v>9</v>
      </c>
      <c r="B6" s="95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</row>
    <row r="7" spans="1:18" ht="15.6" x14ac:dyDescent="0.35">
      <c r="A7" s="21" t="s">
        <v>10</v>
      </c>
      <c r="B7" s="22" t="s">
        <v>11</v>
      </c>
      <c r="C7" s="10">
        <v>1</v>
      </c>
      <c r="D7" s="10">
        <v>2</v>
      </c>
      <c r="E7" s="10">
        <v>3</v>
      </c>
      <c r="F7" s="10">
        <v>4</v>
      </c>
      <c r="G7" s="10">
        <v>5</v>
      </c>
      <c r="H7" s="10">
        <v>6</v>
      </c>
      <c r="I7" s="10">
        <v>7</v>
      </c>
      <c r="J7" s="10">
        <v>8</v>
      </c>
      <c r="K7" s="10">
        <v>9</v>
      </c>
      <c r="L7" s="10">
        <v>10</v>
      </c>
      <c r="M7" s="10">
        <v>11</v>
      </c>
      <c r="N7" s="10">
        <v>12</v>
      </c>
      <c r="O7" s="10">
        <v>15</v>
      </c>
      <c r="P7" s="10">
        <v>20</v>
      </c>
      <c r="Q7" s="10">
        <v>25</v>
      </c>
      <c r="R7" s="11">
        <v>30</v>
      </c>
    </row>
  </sheetData>
  <mergeCells count="5">
    <mergeCell ref="A2:B2"/>
    <mergeCell ref="A3:B3"/>
    <mergeCell ref="A4:B4"/>
    <mergeCell ref="A6:B6"/>
    <mergeCell ref="A1:D1"/>
  </mergeCells>
  <pageMargins left="0.7" right="0.7" top="0.75" bottom="0.75" header="0.3" footer="0.3"/>
  <pageSetup scale="73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LMM_Click">
                <anchor moveWithCells="1">
                  <from>
                    <xdr:col>4</xdr:col>
                    <xdr:colOff>30480</xdr:colOff>
                    <xdr:row>1</xdr:row>
                    <xdr:rowOff>22860</xdr:rowOff>
                  </from>
                  <to>
                    <xdr:col>5</xdr:col>
                    <xdr:colOff>594360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What device to use to compute LMM Paths?">
          <x14:formula1>
            <xm:f>Excel!$A$3:$A$4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>
    <row r="1" spans="1:1" ht="18" x14ac:dyDescent="0.35">
      <c r="A1" s="18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B2" sqref="B2"/>
    </sheetView>
  </sheetViews>
  <sheetFormatPr defaultRowHeight="14.4" x14ac:dyDescent="0.3"/>
  <cols>
    <col min="1" max="1" width="13.88671875" customWidth="1"/>
    <col min="2" max="2" width="17.88671875" customWidth="1"/>
  </cols>
  <sheetData>
    <row r="1" spans="1:5" ht="18" x14ac:dyDescent="0.35">
      <c r="A1" s="96" t="s">
        <v>45</v>
      </c>
      <c r="B1" s="96"/>
      <c r="C1" s="4"/>
      <c r="D1" s="4"/>
      <c r="E1" s="4"/>
    </row>
    <row r="2" spans="1:5" x14ac:dyDescent="0.3">
      <c r="A2" s="80" t="s">
        <v>46</v>
      </c>
      <c r="B2" s="19"/>
      <c r="C2" s="19"/>
      <c r="D2" s="19"/>
      <c r="E2" s="20"/>
    </row>
    <row r="3" spans="1:5" x14ac:dyDescent="0.3">
      <c r="A3" s="13" t="s">
        <v>47</v>
      </c>
      <c r="B3" s="78"/>
      <c r="C3" s="78"/>
      <c r="D3" s="78"/>
      <c r="E3" s="79"/>
    </row>
    <row r="4" spans="1:5" x14ac:dyDescent="0.3">
      <c r="A4" s="13" t="s">
        <v>48</v>
      </c>
      <c r="B4" s="78"/>
      <c r="C4" s="78"/>
      <c r="D4" s="78"/>
      <c r="E4" s="79"/>
    </row>
    <row r="5" spans="1:5" x14ac:dyDescent="0.3">
      <c r="A5" s="13" t="s">
        <v>49</v>
      </c>
      <c r="B5" s="78"/>
      <c r="C5" s="78"/>
      <c r="D5" s="78"/>
      <c r="E5" s="79"/>
    </row>
    <row r="6" spans="1:5" x14ac:dyDescent="0.3">
      <c r="A6" s="13" t="s">
        <v>50</v>
      </c>
      <c r="B6" s="78"/>
      <c r="C6" s="78"/>
      <c r="D6" s="78"/>
      <c r="E6" s="79"/>
    </row>
    <row r="7" spans="1:5" x14ac:dyDescent="0.3">
      <c r="A7" s="14" t="s">
        <v>51</v>
      </c>
      <c r="B7" s="4"/>
      <c r="C7" s="4"/>
      <c r="D7" s="4"/>
      <c r="E7" s="8"/>
    </row>
    <row r="8" spans="1:5" x14ac:dyDescent="0.3">
      <c r="A8" s="81" t="s">
        <v>65</v>
      </c>
      <c r="B8" s="82"/>
      <c r="C8" s="82"/>
      <c r="D8" s="82"/>
      <c r="E8" s="83"/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8" r:id="rId3" name="Button 6">
              <controlPr defaultSize="0" print="0" autoFill="0" autoPict="0" macro="[0]!Caps_Click">
                <anchor moveWithCells="1" sizeWithCells="1">
                  <from>
                    <xdr:col>3</xdr:col>
                    <xdr:colOff>15240</xdr:colOff>
                    <xdr:row>1</xdr:row>
                    <xdr:rowOff>15240</xdr:rowOff>
                  </from>
                  <to>
                    <xdr:col>4</xdr:col>
                    <xdr:colOff>594360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Excel!$A$8:$A$9</xm:f>
          </x14:formula1>
          <xm:sqref>B2</xm:sqref>
        </x14:dataValidation>
        <x14:dataValidation type="list" allowBlank="1" showInputMessage="1" showErrorMessage="1">
          <x14:formula1>
            <xm:f>Excel!$A$12:$A$15</xm:f>
          </x14:formula1>
          <xm:sqref>B3</xm:sqref>
        </x14:dataValidation>
        <x14:dataValidation type="list" allowBlank="1" showInputMessage="1" showErrorMessage="1">
          <x14:formula1>
            <xm:f>Excel!$A$18:$A$19</xm:f>
          </x14:formula1>
          <xm:sqref>B5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9"/>
  <sheetViews>
    <sheetView workbookViewId="0">
      <selection activeCell="A20" sqref="A20"/>
    </sheetView>
  </sheetViews>
  <sheetFormatPr defaultRowHeight="14.4" x14ac:dyDescent="0.3"/>
  <sheetData>
    <row r="1" spans="1:1" x14ac:dyDescent="0.3">
      <c r="A1" s="77" t="s">
        <v>53</v>
      </c>
    </row>
    <row r="2" spans="1:1" x14ac:dyDescent="0.3">
      <c r="A2" t="s">
        <v>7</v>
      </c>
    </row>
    <row r="3" spans="1:1" x14ac:dyDescent="0.3">
      <c r="A3" t="s">
        <v>31</v>
      </c>
    </row>
    <row r="4" spans="1:1" x14ac:dyDescent="0.3">
      <c r="A4" t="s">
        <v>8</v>
      </c>
    </row>
    <row r="5" spans="1:1" x14ac:dyDescent="0.3">
      <c r="A5" s="77"/>
    </row>
    <row r="6" spans="1:1" x14ac:dyDescent="0.3">
      <c r="A6" s="77" t="s">
        <v>52</v>
      </c>
    </row>
    <row r="7" spans="1:1" x14ac:dyDescent="0.3">
      <c r="A7" t="s">
        <v>54</v>
      </c>
    </row>
    <row r="8" spans="1:1" x14ac:dyDescent="0.3">
      <c r="A8" t="s">
        <v>55</v>
      </c>
    </row>
    <row r="9" spans="1:1" x14ac:dyDescent="0.3">
      <c r="A9" t="s">
        <v>56</v>
      </c>
    </row>
    <row r="11" spans="1:1" x14ac:dyDescent="0.3">
      <c r="A11" t="s">
        <v>57</v>
      </c>
    </row>
    <row r="12" spans="1:1" x14ac:dyDescent="0.3">
      <c r="A12" t="s">
        <v>61</v>
      </c>
    </row>
    <row r="13" spans="1:1" x14ac:dyDescent="0.3">
      <c r="A13" t="s">
        <v>59</v>
      </c>
    </row>
    <row r="14" spans="1:1" x14ac:dyDescent="0.3">
      <c r="A14" t="s">
        <v>60</v>
      </c>
    </row>
    <row r="15" spans="1:1" x14ac:dyDescent="0.3">
      <c r="A15" t="s">
        <v>58</v>
      </c>
    </row>
    <row r="17" spans="1:1" x14ac:dyDescent="0.3">
      <c r="A17" t="s">
        <v>62</v>
      </c>
    </row>
    <row r="18" spans="1:1" x14ac:dyDescent="0.3">
      <c r="A18" t="s">
        <v>63</v>
      </c>
    </row>
    <row r="19" spans="1:1" x14ac:dyDescent="0.3">
      <c r="A19" t="s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Title</vt:lpstr>
      <vt:lpstr>Market</vt:lpstr>
      <vt:lpstr>LMM</vt:lpstr>
      <vt:lpstr>LMMPlot</vt:lpstr>
      <vt:lpstr>Caps</vt:lpstr>
      <vt:lpstr>Excel</vt:lpstr>
      <vt:lpstr>LMM!Print_Area</vt:lpstr>
      <vt:lpstr>Market!Print_Area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James Daly Jr.</dc:creator>
  <cp:lastModifiedBy>Douglas James Daly Jr.</cp:lastModifiedBy>
  <cp:lastPrinted>2014-04-03T20:33:05Z</cp:lastPrinted>
  <dcterms:created xsi:type="dcterms:W3CDTF">2014-03-21T05:28:26Z</dcterms:created>
  <dcterms:modified xsi:type="dcterms:W3CDTF">2014-04-23T18:14:45Z</dcterms:modified>
</cp:coreProperties>
</file>